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MASTER\All new 2021\"/>
    </mc:Choice>
  </mc:AlternateContent>
  <bookViews>
    <workbookView xWindow="0" yWindow="0" windowWidth="20490" windowHeight="765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6" i="1" l="1"/>
  <c r="C205" i="1"/>
  <c r="C204" i="1"/>
  <c r="C203" i="1"/>
  <c r="C202" i="1"/>
  <c r="D206" i="1"/>
  <c r="D205" i="1"/>
  <c r="D204" i="1"/>
  <c r="D203" i="1"/>
  <c r="D202" i="1"/>
  <c r="E206" i="1" l="1"/>
  <c r="E205" i="1"/>
  <c r="E204" i="1"/>
  <c r="E203" i="1"/>
  <c r="D201" i="1"/>
  <c r="E202" i="1"/>
  <c r="C201" i="1"/>
  <c r="E201" i="1" s="1"/>
  <c r="D200" i="1"/>
  <c r="D199" i="1"/>
  <c r="D198" i="1"/>
  <c r="D197" i="1"/>
  <c r="D196" i="1"/>
  <c r="D195" i="1"/>
  <c r="D194" i="1"/>
  <c r="D193" i="1"/>
  <c r="D192" i="1"/>
  <c r="C200" i="1"/>
  <c r="E200" i="1" s="1"/>
  <c r="C199" i="1"/>
  <c r="C198" i="1"/>
  <c r="C197" i="1"/>
  <c r="C196" i="1"/>
  <c r="E196" i="1" s="1"/>
  <c r="C195" i="1"/>
  <c r="C194" i="1"/>
  <c r="E194" i="1" s="1"/>
  <c r="C193" i="1"/>
  <c r="C192" i="1"/>
  <c r="C191" i="1"/>
  <c r="C190" i="1"/>
  <c r="C189" i="1"/>
  <c r="E189" i="1" s="1"/>
  <c r="C188" i="1"/>
  <c r="C187" i="1"/>
  <c r="C186" i="1"/>
  <c r="E186" i="1" s="1"/>
  <c r="D191" i="1"/>
  <c r="D190" i="1"/>
  <c r="D189" i="1"/>
  <c r="D188" i="1"/>
  <c r="D187" i="1"/>
  <c r="E187" i="1" s="1"/>
  <c r="D186" i="1"/>
  <c r="C185" i="1"/>
  <c r="E185" i="1" s="1"/>
  <c r="C184" i="1"/>
  <c r="C183" i="1"/>
  <c r="C182" i="1"/>
  <c r="C181" i="1"/>
  <c r="E181" i="1" s="1"/>
  <c r="C180" i="1"/>
  <c r="C179" i="1"/>
  <c r="C178" i="1"/>
  <c r="E178" i="1" s="1"/>
  <c r="C177" i="1"/>
  <c r="D185" i="1"/>
  <c r="D184" i="1"/>
  <c r="D183" i="1"/>
  <c r="D182" i="1"/>
  <c r="D181" i="1"/>
  <c r="D180" i="1"/>
  <c r="D179" i="1"/>
  <c r="D178" i="1"/>
  <c r="D177" i="1"/>
  <c r="D176" i="1"/>
  <c r="C175" i="1"/>
  <c r="E175" i="1" s="1"/>
  <c r="C174" i="1"/>
  <c r="E174" i="1" s="1"/>
  <c r="C173" i="1"/>
  <c r="E173" i="1" s="1"/>
  <c r="C172" i="1"/>
  <c r="C171" i="1"/>
  <c r="E171" i="1" s="1"/>
  <c r="C170" i="1"/>
  <c r="C169" i="1"/>
  <c r="C168" i="1"/>
  <c r="C167" i="1"/>
  <c r="E167" i="1" s="1"/>
  <c r="C166" i="1"/>
  <c r="E166" i="1" s="1"/>
  <c r="C165" i="1"/>
  <c r="E165" i="1" s="1"/>
  <c r="C164" i="1"/>
  <c r="E161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C176" i="1"/>
  <c r="E176" i="1" s="1"/>
  <c r="C163" i="1"/>
  <c r="E163" i="1" s="1"/>
  <c r="C162" i="1"/>
  <c r="C161" i="1"/>
  <c r="C160" i="1"/>
  <c r="E160" i="1" s="1"/>
  <c r="C159" i="1"/>
  <c r="C158" i="1"/>
  <c r="C157" i="1"/>
  <c r="E157" i="1" s="1"/>
  <c r="C156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C155" i="1"/>
  <c r="E155" i="1" s="1"/>
  <c r="C154" i="1"/>
  <c r="C153" i="1"/>
  <c r="E153" i="1" s="1"/>
  <c r="C152" i="1"/>
  <c r="E152" i="1" s="1"/>
  <c r="C151" i="1"/>
  <c r="C150" i="1"/>
  <c r="C149" i="1"/>
  <c r="C148" i="1"/>
  <c r="C147" i="1"/>
  <c r="E147" i="1" s="1"/>
  <c r="C146" i="1"/>
  <c r="C145" i="1"/>
  <c r="E145" i="1" s="1"/>
  <c r="C144" i="1"/>
  <c r="E144" i="1" s="1"/>
  <c r="C143" i="1"/>
  <c r="D142" i="1"/>
  <c r="D141" i="1"/>
  <c r="C142" i="1"/>
  <c r="C141" i="1"/>
  <c r="C140" i="1"/>
  <c r="D140" i="1"/>
  <c r="D139" i="1"/>
  <c r="D138" i="1"/>
  <c r="D137" i="1"/>
  <c r="D136" i="1"/>
  <c r="D135" i="1"/>
  <c r="D134" i="1"/>
  <c r="D133" i="1"/>
  <c r="D132" i="1"/>
  <c r="D131" i="1"/>
  <c r="D130" i="1"/>
  <c r="C139" i="1"/>
  <c r="C138" i="1"/>
  <c r="C137" i="1"/>
  <c r="E137" i="1" s="1"/>
  <c r="C136" i="1"/>
  <c r="E136" i="1" s="1"/>
  <c r="C135" i="1"/>
  <c r="C134" i="1"/>
  <c r="E134" i="1" s="1"/>
  <c r="C133" i="1"/>
  <c r="E133" i="1" s="1"/>
  <c r="C132" i="1"/>
  <c r="E132" i="1" s="1"/>
  <c r="C131" i="1"/>
  <c r="E131" i="1" s="1"/>
  <c r="C130" i="1"/>
  <c r="C129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C128" i="1"/>
  <c r="E128" i="1" s="1"/>
  <c r="C127" i="1"/>
  <c r="C126" i="1"/>
  <c r="E126" i="1" s="1"/>
  <c r="C125" i="1"/>
  <c r="C124" i="1"/>
  <c r="E124" i="1" s="1"/>
  <c r="C123" i="1"/>
  <c r="C122" i="1"/>
  <c r="E122" i="1" s="1"/>
  <c r="C121" i="1"/>
  <c r="C120" i="1"/>
  <c r="E120" i="1" s="1"/>
  <c r="C119" i="1"/>
  <c r="C118" i="1"/>
  <c r="E118" i="1" s="1"/>
  <c r="C117" i="1"/>
  <c r="C116" i="1"/>
  <c r="C115" i="1"/>
  <c r="C114" i="1"/>
  <c r="C113" i="1"/>
  <c r="C112" i="1"/>
  <c r="C111" i="1"/>
  <c r="C110" i="1"/>
  <c r="C109" i="1"/>
  <c r="C108" i="1"/>
  <c r="C107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C106" i="1"/>
  <c r="C105" i="1"/>
  <c r="E105" i="1" s="1"/>
  <c r="C104" i="1"/>
  <c r="C103" i="1"/>
  <c r="E103" i="1" s="1"/>
  <c r="C102" i="1"/>
  <c r="C101" i="1"/>
  <c r="C100" i="1"/>
  <c r="C99" i="1"/>
  <c r="C98" i="1"/>
  <c r="C97" i="1"/>
  <c r="C96" i="1"/>
  <c r="C95" i="1"/>
  <c r="C94" i="1"/>
  <c r="C93" i="1"/>
  <c r="C92" i="1"/>
  <c r="D102" i="1"/>
  <c r="D101" i="1"/>
  <c r="D100" i="1"/>
  <c r="D99" i="1"/>
  <c r="D98" i="1"/>
  <c r="D97" i="1"/>
  <c r="D96" i="1"/>
  <c r="D95" i="1"/>
  <c r="D94" i="1"/>
  <c r="D93" i="1"/>
  <c r="D92" i="1"/>
  <c r="C91" i="1"/>
  <c r="C90" i="1"/>
  <c r="C89" i="1"/>
  <c r="D91" i="1"/>
  <c r="D90" i="1"/>
  <c r="D89" i="1"/>
  <c r="D88" i="1"/>
  <c r="D87" i="1"/>
  <c r="D86" i="1"/>
  <c r="C88" i="1"/>
  <c r="E88" i="1" s="1"/>
  <c r="C87" i="1"/>
  <c r="C86" i="1"/>
  <c r="C85" i="1"/>
  <c r="D85" i="1"/>
  <c r="D84" i="1"/>
  <c r="D83" i="1"/>
  <c r="D82" i="1"/>
  <c r="D81" i="1"/>
  <c r="C84" i="1"/>
  <c r="E84" i="1" s="1"/>
  <c r="C83" i="1"/>
  <c r="C82" i="1"/>
  <c r="C81" i="1"/>
  <c r="C80" i="1"/>
  <c r="C79" i="1"/>
  <c r="E79" i="1" s="1"/>
  <c r="C68" i="1"/>
  <c r="D80" i="1"/>
  <c r="E80" i="1" s="1"/>
  <c r="D79" i="1"/>
  <c r="D78" i="1"/>
  <c r="D77" i="1"/>
  <c r="D76" i="1"/>
  <c r="D75" i="1"/>
  <c r="D74" i="1"/>
  <c r="D73" i="1"/>
  <c r="C78" i="1"/>
  <c r="C77" i="1"/>
  <c r="C76" i="1"/>
  <c r="E76" i="1" s="1"/>
  <c r="C75" i="1"/>
  <c r="C74" i="1"/>
  <c r="C73" i="1"/>
  <c r="C72" i="1"/>
  <c r="C71" i="1"/>
  <c r="D72" i="1"/>
  <c r="D71" i="1"/>
  <c r="D70" i="1"/>
  <c r="D69" i="1"/>
  <c r="D68" i="1"/>
  <c r="D67" i="1"/>
  <c r="D66" i="1"/>
  <c r="D65" i="1"/>
  <c r="D64" i="1"/>
  <c r="D63" i="1"/>
  <c r="D62" i="1"/>
  <c r="C70" i="1"/>
  <c r="C69" i="1"/>
  <c r="C67" i="1"/>
  <c r="E67" i="1" s="1"/>
  <c r="C66" i="1"/>
  <c r="E66" i="1" s="1"/>
  <c r="C65" i="1"/>
  <c r="C64" i="1"/>
  <c r="C63" i="1"/>
  <c r="C62" i="1"/>
  <c r="C61" i="1"/>
  <c r="C60" i="1"/>
  <c r="C59" i="1"/>
  <c r="D61" i="1"/>
  <c r="D60" i="1"/>
  <c r="E60" i="1" s="1"/>
  <c r="D59" i="1"/>
  <c r="D58" i="1"/>
  <c r="D57" i="1"/>
  <c r="D56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D34" i="1"/>
  <c r="C35" i="1"/>
  <c r="C34" i="1"/>
  <c r="C33" i="1"/>
  <c r="C32" i="1"/>
  <c r="E32" i="1" s="1"/>
  <c r="C31" i="1"/>
  <c r="C30" i="1"/>
  <c r="E30" i="1" s="1"/>
  <c r="C29" i="1"/>
  <c r="E29" i="1" s="1"/>
  <c r="C28" i="1"/>
  <c r="C27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3" i="1"/>
  <c r="D32" i="1"/>
  <c r="D31" i="1"/>
  <c r="D30" i="1"/>
  <c r="D29" i="1"/>
  <c r="D28" i="1"/>
  <c r="D27" i="1"/>
  <c r="D26" i="1"/>
  <c r="D25" i="1"/>
  <c r="D24" i="1"/>
  <c r="C26" i="1"/>
  <c r="C25" i="1"/>
  <c r="C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39" i="1" l="1"/>
  <c r="E47" i="1"/>
  <c r="E55" i="1"/>
  <c r="E73" i="1"/>
  <c r="E91" i="1"/>
  <c r="E113" i="1"/>
  <c r="E158" i="1"/>
  <c r="E164" i="1"/>
  <c r="E172" i="1"/>
  <c r="E179" i="1"/>
  <c r="E188" i="1"/>
  <c r="E107" i="1"/>
  <c r="E115" i="1"/>
  <c r="E146" i="1"/>
  <c r="E154" i="1"/>
  <c r="E180" i="1"/>
  <c r="E197" i="1"/>
  <c r="E27" i="1"/>
  <c r="E58" i="1"/>
  <c r="E99" i="1"/>
  <c r="E108" i="1"/>
  <c r="E116" i="1"/>
  <c r="E190" i="1"/>
  <c r="E28" i="1"/>
  <c r="E61" i="1"/>
  <c r="E75" i="1"/>
  <c r="E148" i="1"/>
  <c r="E162" i="1"/>
  <c r="E168" i="1"/>
  <c r="E182" i="1"/>
  <c r="E191" i="1"/>
  <c r="E199" i="1"/>
  <c r="E110" i="1"/>
  <c r="E130" i="1"/>
  <c r="E169" i="1"/>
  <c r="E183" i="1"/>
  <c r="E36" i="1"/>
  <c r="E44" i="1"/>
  <c r="E52" i="1"/>
  <c r="E87" i="1"/>
  <c r="E119" i="1"/>
  <c r="E150" i="1"/>
  <c r="E170" i="1"/>
  <c r="E184" i="1"/>
  <c r="E193" i="1"/>
  <c r="E198" i="1"/>
  <c r="E195" i="1"/>
  <c r="E192" i="1"/>
  <c r="E177" i="1"/>
  <c r="E37" i="1"/>
  <c r="E45" i="1"/>
  <c r="E31" i="1"/>
  <c r="E38" i="1"/>
  <c r="E46" i="1"/>
  <c r="E54" i="1"/>
  <c r="E83" i="1"/>
  <c r="E109" i="1"/>
  <c r="E117" i="1"/>
  <c r="E125" i="1"/>
  <c r="E33" i="1"/>
  <c r="E40" i="1"/>
  <c r="E48" i="1"/>
  <c r="E111" i="1"/>
  <c r="E127" i="1"/>
  <c r="E138" i="1"/>
  <c r="E149" i="1"/>
  <c r="E41" i="1"/>
  <c r="E72" i="1"/>
  <c r="E104" i="1"/>
  <c r="E112" i="1"/>
  <c r="E156" i="1"/>
  <c r="E26" i="1"/>
  <c r="E35" i="1"/>
  <c r="E42" i="1"/>
  <c r="E50" i="1"/>
  <c r="E59" i="1"/>
  <c r="E121" i="1"/>
  <c r="E143" i="1"/>
  <c r="E151" i="1"/>
  <c r="E43" i="1"/>
  <c r="E51" i="1"/>
  <c r="E69" i="1"/>
  <c r="E98" i="1"/>
  <c r="E106" i="1"/>
  <c r="E114" i="1"/>
  <c r="E70" i="1"/>
  <c r="E123" i="1"/>
  <c r="E159" i="1"/>
  <c r="E53" i="1"/>
  <c r="E135" i="1"/>
  <c r="E141" i="1"/>
  <c r="E142" i="1"/>
  <c r="E140" i="1"/>
  <c r="E139" i="1"/>
  <c r="E129" i="1"/>
  <c r="E95" i="1"/>
  <c r="E97" i="1"/>
  <c r="E100" i="1"/>
  <c r="E101" i="1"/>
  <c r="E102" i="1"/>
  <c r="E96" i="1"/>
  <c r="E94" i="1"/>
  <c r="E93" i="1"/>
  <c r="E92" i="1"/>
  <c r="E86" i="1"/>
  <c r="E85" i="1"/>
  <c r="E81" i="1"/>
  <c r="E89" i="1"/>
  <c r="E82" i="1"/>
  <c r="E90" i="1"/>
  <c r="E78" i="1"/>
  <c r="E77" i="1"/>
  <c r="E74" i="1"/>
  <c r="E68" i="1"/>
  <c r="E64" i="1"/>
  <c r="E62" i="1"/>
  <c r="E71" i="1"/>
  <c r="E63" i="1"/>
  <c r="E56" i="1"/>
  <c r="E34" i="1"/>
  <c r="E57" i="1"/>
  <c r="E49" i="1"/>
  <c r="E65" i="1"/>
  <c r="E25" i="1"/>
</calcChain>
</file>

<file path=xl/sharedStrings.xml><?xml version="1.0" encoding="utf-8"?>
<sst xmlns="http://schemas.openxmlformats.org/spreadsheetml/2006/main" count="655" uniqueCount="596">
  <si>
    <t xml:space="preserve">NAME </t>
  </si>
  <si>
    <t>PHONE</t>
  </si>
  <si>
    <t>EMAIL</t>
  </si>
  <si>
    <t xml:space="preserve">MOBILE  </t>
  </si>
  <si>
    <t>SECONDARY MOBILE</t>
  </si>
  <si>
    <t>P NUMBER</t>
  </si>
  <si>
    <t>PROJECT NUMBER</t>
  </si>
  <si>
    <t>NUMBER</t>
  </si>
  <si>
    <t>TOWNHOUSE NUMBER</t>
  </si>
  <si>
    <t>TH17</t>
  </si>
  <si>
    <t>THUNAYYAN KHALID ALMAHMOOD</t>
  </si>
  <si>
    <t>966595621141</t>
  </si>
  <si>
    <t>thunayyan16@gmail.com</t>
  </si>
  <si>
    <t>TH30</t>
  </si>
  <si>
    <t>SAEED NASSER AAMER</t>
  </si>
  <si>
    <t>0504709991</t>
  </si>
  <si>
    <t>bofz3ah@hotmail.com</t>
  </si>
  <si>
    <t>NADA ABDULRAZZAQ</t>
  </si>
  <si>
    <t>0502388996</t>
  </si>
  <si>
    <t>TH</t>
  </si>
  <si>
    <t>TH14</t>
  </si>
  <si>
    <t>ZAYED GHANIM MOHAMMAD</t>
  </si>
  <si>
    <t>0505355671</t>
  </si>
  <si>
    <t>TH16</t>
  </si>
  <si>
    <t>HADI MAHMOUD RAMADAN</t>
  </si>
  <si>
    <t>0503874888</t>
  </si>
  <si>
    <t>TH15</t>
  </si>
  <si>
    <t>PIERRE HABIB</t>
  </si>
  <si>
    <t>0528013595</t>
  </si>
  <si>
    <t>AHMAD JABBAR HUSSEIN AL HAIBI</t>
  </si>
  <si>
    <t>9647809133169</t>
  </si>
  <si>
    <t>FARIS MOHAMED EISA</t>
  </si>
  <si>
    <t>0502444624</t>
  </si>
  <si>
    <t>MAG Arabic 14 - 16</t>
  </si>
  <si>
    <t>BUILDING NUMBER</t>
  </si>
  <si>
    <t>MAG Arabic 14 - 17</t>
  </si>
  <si>
    <t>MAG Arabic 14 - 19</t>
  </si>
  <si>
    <t>MAG Arabic 12 - 02</t>
  </si>
  <si>
    <t>MAG English 3 - 17</t>
  </si>
  <si>
    <t>MAG German 1 - 01</t>
  </si>
  <si>
    <t>MAG Bengali 2 - 07</t>
  </si>
  <si>
    <t>MAG English 1 - 10</t>
  </si>
  <si>
    <t>MAG Arabic 14 - 14</t>
  </si>
  <si>
    <t>JEHAD YUSUF ABDULLA AMIN</t>
  </si>
  <si>
    <t>97339606969</t>
  </si>
  <si>
    <t>jehad.amin@live.com</t>
  </si>
  <si>
    <t>MAG Arabic 14 - 13</t>
  </si>
  <si>
    <t>AYESHA SALEM EBRAHIM</t>
  </si>
  <si>
    <t>0505788886</t>
  </si>
  <si>
    <t>MAG Arabic 14 - 09</t>
  </si>
  <si>
    <t>PARVIZ BEIGZADEH</t>
  </si>
  <si>
    <t>MAG Arabic 14 - 12</t>
  </si>
  <si>
    <t>MOHAMED AHMED KHALIFA</t>
  </si>
  <si>
    <t>0508883477</t>
  </si>
  <si>
    <t>989121300587</t>
  </si>
  <si>
    <t>MAG Arabic 14 - 07</t>
  </si>
  <si>
    <t>HASAN ABDULLA HASAN</t>
  </si>
  <si>
    <t>0504570058</t>
  </si>
  <si>
    <t>MAG Arabic 14 - 04</t>
  </si>
  <si>
    <t>ABDULLAH ALI ALKHYELI</t>
  </si>
  <si>
    <t>0509988539</t>
  </si>
  <si>
    <t>MAG Arabic 14 - 02</t>
  </si>
  <si>
    <t>ABDUL MAJEED HAJA</t>
  </si>
  <si>
    <t>0507596299</t>
  </si>
  <si>
    <t>MAG English 3 - 19</t>
  </si>
  <si>
    <t>FREDERICK FERNANDEZ</t>
  </si>
  <si>
    <t>3364546060</t>
  </si>
  <si>
    <t>MAG English 3 - 18</t>
  </si>
  <si>
    <t>ABDULLA GHANIM MOHAMMAD</t>
  </si>
  <si>
    <t>MAG English 3 - 16</t>
  </si>
  <si>
    <t>MOHAMMAD ALI GHANIM AL MARRI</t>
  </si>
  <si>
    <t>MAG English 3 - 15</t>
  </si>
  <si>
    <t>SUHAILA MOHAMMAD MULLA</t>
  </si>
  <si>
    <t>0566861158</t>
  </si>
  <si>
    <t>MAG English 3 - 14</t>
  </si>
  <si>
    <t>ZANFER ABDUL AHAD</t>
  </si>
  <si>
    <t>0558726002</t>
  </si>
  <si>
    <t>MAG English 3 - 13</t>
  </si>
  <si>
    <t>MOHAMAD MILAD YAZDANPANAH</t>
  </si>
  <si>
    <t>989122538623</t>
  </si>
  <si>
    <t>MAG English 3 - 12</t>
  </si>
  <si>
    <t>MOHAMMED SAEED ALI</t>
  </si>
  <si>
    <t>0555445450</t>
  </si>
  <si>
    <t>MAG English 3 - 08</t>
  </si>
  <si>
    <t>MAG English 3 - 11</t>
  </si>
  <si>
    <t>JABER HUMAID SAEED</t>
  </si>
  <si>
    <t>0505524255</t>
  </si>
  <si>
    <t>SHANOD HAMEED</t>
  </si>
  <si>
    <t>0504267767</t>
  </si>
  <si>
    <t>shanod@gmail.com</t>
  </si>
  <si>
    <t>MAG English 3 - 07</t>
  </si>
  <si>
    <t>MARYAM HILAL MOHAMMAD</t>
  </si>
  <si>
    <t>0506559776</t>
  </si>
  <si>
    <t>MAG Arabic 16 - 27</t>
  </si>
  <si>
    <t>DEEPAA PAATIL</t>
  </si>
  <si>
    <t>0527621235</t>
  </si>
  <si>
    <t>jayjeet20@yahoo.com</t>
  </si>
  <si>
    <t>MAG English 3 - 06</t>
  </si>
  <si>
    <t>KHULOUD ALI JUMA</t>
  </si>
  <si>
    <t>0503907171</t>
  </si>
  <si>
    <t>MAG Arabic 16 - 10</t>
  </si>
  <si>
    <t>ABDULLA ABDULKARIM NAQI</t>
  </si>
  <si>
    <t>0501606166</t>
  </si>
  <si>
    <t>abdulla.albastaki@icloud.com</t>
  </si>
  <si>
    <t>MAG Arabic 16 - 22</t>
  </si>
  <si>
    <t>SAUD SAAD KULAIB</t>
  </si>
  <si>
    <t>966546668858</t>
  </si>
  <si>
    <t>MAG Arabic 16 - 23</t>
  </si>
  <si>
    <t>KHALIFA ABDULLA SAEED</t>
  </si>
  <si>
    <t>0501607799</t>
  </si>
  <si>
    <t>MAG Arabic 16 - 24</t>
  </si>
  <si>
    <t>AROOJ AMIN MUHAMMAD</t>
  </si>
  <si>
    <t>0504803619</t>
  </si>
  <si>
    <t>MAG Arabic 16 - 19</t>
  </si>
  <si>
    <t>GURNOOR BINDRA</t>
  </si>
  <si>
    <t>0569743939</t>
  </si>
  <si>
    <t>WAQAS REHMAT</t>
  </si>
  <si>
    <t>447999137467</t>
  </si>
  <si>
    <t>rehmat.waqas@gmail.com</t>
  </si>
  <si>
    <t>MAG Portuguese 02 - 08</t>
  </si>
  <si>
    <t>MAG Indonesian 02 - 09</t>
  </si>
  <si>
    <t>HOSSEIN BANAHA</t>
  </si>
  <si>
    <t>0502545630</t>
  </si>
  <si>
    <t>MAG Indonesian 02 - 03</t>
  </si>
  <si>
    <t>PAWAN KAURA</t>
  </si>
  <si>
    <t>0565154483</t>
  </si>
  <si>
    <t>MAG French 1 - 16</t>
  </si>
  <si>
    <t>OSAMA MAHMOUD ISSA</t>
  </si>
  <si>
    <t>0556024710</t>
  </si>
  <si>
    <t>MAG French 1 - 15</t>
  </si>
  <si>
    <t>JAHNAVI VIJAY</t>
  </si>
  <si>
    <t>0556500888</t>
  </si>
  <si>
    <t>MAG French 1 - 10</t>
  </si>
  <si>
    <t>FRASER STUART</t>
  </si>
  <si>
    <t>006597968518</t>
  </si>
  <si>
    <t>MAG French 1 - 08</t>
  </si>
  <si>
    <t>JAWAHER RASHED SALEM</t>
  </si>
  <si>
    <t>0521969945</t>
  </si>
  <si>
    <t>MAG French 1 - 07</t>
  </si>
  <si>
    <t>SREENATH VEETTIL</t>
  </si>
  <si>
    <t>0558863917</t>
  </si>
  <si>
    <t>MAG French 1 - 06</t>
  </si>
  <si>
    <t>AHMED ALI MOHAMED</t>
  </si>
  <si>
    <t>0505535133</t>
  </si>
  <si>
    <t>MAG French 1 - 03</t>
  </si>
  <si>
    <t>SURESH TARACHAND</t>
  </si>
  <si>
    <t>0552267742</t>
  </si>
  <si>
    <t>MAG Bengali 2 - 16</t>
  </si>
  <si>
    <t>SARFRAZ AKRAM</t>
  </si>
  <si>
    <t>+447812120042</t>
  </si>
  <si>
    <t>MAG Bengali 2 - 14</t>
  </si>
  <si>
    <t>AYESHA GHALEB ALI</t>
  </si>
  <si>
    <t>0504996620</t>
  </si>
  <si>
    <t>MAG Bengali 2 - 12</t>
  </si>
  <si>
    <t>SHADY NAJJAR</t>
  </si>
  <si>
    <t>0559446088</t>
  </si>
  <si>
    <t>MAG Bengali 2 - 11</t>
  </si>
  <si>
    <t>ZIAD SAMAHA</t>
  </si>
  <si>
    <t>0505529983</t>
  </si>
  <si>
    <t>MAG Bengali 2 - 10</t>
  </si>
  <si>
    <t>SALEM MOHAMMED SARHAN</t>
  </si>
  <si>
    <t>0504440482</t>
  </si>
  <si>
    <t>MAG Bengali 2 - 09</t>
  </si>
  <si>
    <t>SHAIKHA AHMED ALHOSANI</t>
  </si>
  <si>
    <t>0508188583</t>
  </si>
  <si>
    <t>MAG Bengali 2 - 08</t>
  </si>
  <si>
    <t>INTESAR AHMED ALHOSNI</t>
  </si>
  <si>
    <t>0504443033</t>
  </si>
  <si>
    <t>MAG Bengali 2 - 05</t>
  </si>
  <si>
    <t>SAMY IBRAHIM MOHAMED</t>
  </si>
  <si>
    <t>0529256686</t>
  </si>
  <si>
    <t>MAG Bengali 1 - 07</t>
  </si>
  <si>
    <t>SYAFIEK ALAMUDY</t>
  </si>
  <si>
    <t>966549888777</t>
  </si>
  <si>
    <t>MAG Bengali 1 - 05</t>
  </si>
  <si>
    <t>SAIF KHALED AHMED</t>
  </si>
  <si>
    <t>0501411140</t>
  </si>
  <si>
    <t>MAG Bengali 1 - 04</t>
  </si>
  <si>
    <t>JAVED ALAM</t>
  </si>
  <si>
    <t>0507254711</t>
  </si>
  <si>
    <t>MAG Bengali 1 - 03</t>
  </si>
  <si>
    <t>PAPA MOHAMED</t>
  </si>
  <si>
    <t>918754516662</t>
  </si>
  <si>
    <t>MAG Urdu 2 - 05</t>
  </si>
  <si>
    <t>HUSAIN JASIM</t>
  </si>
  <si>
    <t>97339643311</t>
  </si>
  <si>
    <t>MAG Urdu 2 - 04</t>
  </si>
  <si>
    <t>HAIFA EBRAHIM</t>
  </si>
  <si>
    <t>97339635357</t>
  </si>
  <si>
    <t>MAG Urdu 2 - 03</t>
  </si>
  <si>
    <t>ALEXANDR FEDOTOV</t>
  </si>
  <si>
    <t>79375874700</t>
  </si>
  <si>
    <t>MAG Urdu 2 - 02</t>
  </si>
  <si>
    <t>LAKHANI DHARMENDRA</t>
  </si>
  <si>
    <t>0559685569</t>
  </si>
  <si>
    <t>MAG Urdu 1 - 07</t>
  </si>
  <si>
    <t>AREF KARIM</t>
  </si>
  <si>
    <t>0505248184</t>
  </si>
  <si>
    <t>MAG Urdu 1 - 06</t>
  </si>
  <si>
    <t>ANJU JACOB</t>
  </si>
  <si>
    <t>0562531276</t>
  </si>
  <si>
    <t>MAG Arabic 14 - 18</t>
  </si>
  <si>
    <t>XIAOJING CHEN</t>
  </si>
  <si>
    <t>0551898828</t>
  </si>
  <si>
    <t>MAG Arabic 16 - 18</t>
  </si>
  <si>
    <t>HAMDAN SALEH AHMED</t>
  </si>
  <si>
    <t>0505352666</t>
  </si>
  <si>
    <t>MAG Arabic 16 - 17</t>
  </si>
  <si>
    <t>KHADEEJA SALEH AHMED</t>
  </si>
  <si>
    <t>0505366641</t>
  </si>
  <si>
    <t>MAG Arabic 16 - 14</t>
  </si>
  <si>
    <t>SAFYA GHANIM ALI</t>
  </si>
  <si>
    <t>0506633359</t>
  </si>
  <si>
    <t>MAG Arabic 16 - 12</t>
  </si>
  <si>
    <t>SHAIKHA SALEM MOHAMMED</t>
  </si>
  <si>
    <t>0565006003</t>
  </si>
  <si>
    <t>MAG Arabic 16 - 11</t>
  </si>
  <si>
    <t>HEBA MOHAMED ALI</t>
  </si>
  <si>
    <t>0504416151</t>
  </si>
  <si>
    <t>MAG Arabic 16 - 07</t>
  </si>
  <si>
    <t>EVELINE RZHEVUSKAYA</t>
  </si>
  <si>
    <t>0559197605</t>
  </si>
  <si>
    <t>MAG Arabic 16 - 06</t>
  </si>
  <si>
    <t>REPHAEL NATHAN</t>
  </si>
  <si>
    <t>33651925359</t>
  </si>
  <si>
    <t>MAG Arabic 16 - 01</t>
  </si>
  <si>
    <t>PRAKASH SEVAIAH</t>
  </si>
  <si>
    <t>0555478193</t>
  </si>
  <si>
    <t>MAG Arabic 17 - 17</t>
  </si>
  <si>
    <t>BASMA MOHAMMAD ALI</t>
  </si>
  <si>
    <t>0559591333</t>
  </si>
  <si>
    <t>MAG Arabic 17 - 15</t>
  </si>
  <si>
    <t>MOHAMMED ABDULRAHMAN HASAN</t>
  </si>
  <si>
    <t>0551717117</t>
  </si>
  <si>
    <t>MAG Arabic 17 - 14</t>
  </si>
  <si>
    <t>SLAHEDDINE HAOUEL</t>
  </si>
  <si>
    <t>0565494673</t>
  </si>
  <si>
    <t>MAG Arabic 17 - 09</t>
  </si>
  <si>
    <t>SALEM KHAMIS SALEM</t>
  </si>
  <si>
    <t>0506277759</t>
  </si>
  <si>
    <t>MAG Arabic 17 - 12</t>
  </si>
  <si>
    <t>WEI JING</t>
  </si>
  <si>
    <t>0558218937</t>
  </si>
  <si>
    <t>MAG Arabic 17 - 08</t>
  </si>
  <si>
    <t>SHENGXUAN ZHANG</t>
  </si>
  <si>
    <t>0528577058</t>
  </si>
  <si>
    <t>MAG Arabic 17 - 07</t>
  </si>
  <si>
    <t>XIAOFEI MO</t>
  </si>
  <si>
    <t>0521435678</t>
  </si>
  <si>
    <t>MAG Arabic 17 - 02</t>
  </si>
  <si>
    <t>MOHAMED KARIM</t>
  </si>
  <si>
    <t>0545811513</t>
  </si>
  <si>
    <t>MAG Arabic 17 - 01</t>
  </si>
  <si>
    <t>ABOOBACKER CHARUPADICKAL</t>
  </si>
  <si>
    <t>0508061380</t>
  </si>
  <si>
    <t>MAG Arabic 13 - 13</t>
  </si>
  <si>
    <t>UMKALTHOUM MUBARAK</t>
  </si>
  <si>
    <t>0506413346</t>
  </si>
  <si>
    <t>MAG Urdu 1 - 05</t>
  </si>
  <si>
    <t>VIJAY MATHEW</t>
  </si>
  <si>
    <t>0554047936</t>
  </si>
  <si>
    <t>MAG Urdu 1 - 04</t>
  </si>
  <si>
    <t>MAJID MOHAMED AL ALI</t>
  </si>
  <si>
    <t>0505529552</t>
  </si>
  <si>
    <t>MAG Urdu 1 - 03</t>
  </si>
  <si>
    <t>ALI MOHAMMAD</t>
  </si>
  <si>
    <t>98214022991213</t>
  </si>
  <si>
    <t>MAG Urdu 1 - 02</t>
  </si>
  <si>
    <t>MAG Urdu 1 - 01</t>
  </si>
  <si>
    <t>ZAFER CHABAN</t>
  </si>
  <si>
    <t>0557770547</t>
  </si>
  <si>
    <t>MAG German 2 - 07</t>
  </si>
  <si>
    <t>DHARMENDRA LAKHANI</t>
  </si>
  <si>
    <t>0505648213</t>
  </si>
  <si>
    <t>MAG German 2 - 06</t>
  </si>
  <si>
    <t>HIKMAT ZUHAIR RIDA</t>
  </si>
  <si>
    <t>0543911111</t>
  </si>
  <si>
    <t>MAG German 2 - 05</t>
  </si>
  <si>
    <t>ELIZIER NELSON</t>
  </si>
  <si>
    <t>0506762476</t>
  </si>
  <si>
    <t>MAG German 2 - 04</t>
  </si>
  <si>
    <t>SHIVANI GANGAL</t>
  </si>
  <si>
    <t>0565884420</t>
  </si>
  <si>
    <t>MAG German 1 - 06</t>
  </si>
  <si>
    <t>MAG German 1 - 05</t>
  </si>
  <si>
    <t>PATRICK DALY</t>
  </si>
  <si>
    <t>0565454421</t>
  </si>
  <si>
    <t>MAG Japanese 2 - 07</t>
  </si>
  <si>
    <t>VENU GOPAL ARADHYULA</t>
  </si>
  <si>
    <t>0559456610</t>
  </si>
  <si>
    <t>MAG Arabic 7 - 07</t>
  </si>
  <si>
    <t>HANA KAMAL ALI</t>
  </si>
  <si>
    <t>966566565644</t>
  </si>
  <si>
    <t>MAG Spanish 2 - 01</t>
  </si>
  <si>
    <t>FAHIMEH ZAMIN</t>
  </si>
  <si>
    <t>0506943471</t>
  </si>
  <si>
    <t>MAG English 1 - 05</t>
  </si>
  <si>
    <t>SALIM SAEED</t>
  </si>
  <si>
    <t>0502728222</t>
  </si>
  <si>
    <t>MAG English 1 - 04</t>
  </si>
  <si>
    <t>GHANIM SAEED SALIM</t>
  </si>
  <si>
    <t>0551196666</t>
  </si>
  <si>
    <t>MAG Arabic 12 - 12</t>
  </si>
  <si>
    <t>FATIMA MUBARAK JASIM</t>
  </si>
  <si>
    <t>0504110080</t>
  </si>
  <si>
    <t>MAG Arabic 12 - 10</t>
  </si>
  <si>
    <t>ALI HAREB GHAREEB</t>
  </si>
  <si>
    <t>0509889922</t>
  </si>
  <si>
    <t>MAG Arabic 12 - 09</t>
  </si>
  <si>
    <t>EISA ABDALLA ALI</t>
  </si>
  <si>
    <t>0508088836</t>
  </si>
  <si>
    <t>MAG Arabic 12 - 06</t>
  </si>
  <si>
    <t>JAWAHER AHMED KHALAF</t>
  </si>
  <si>
    <t>0501941149</t>
  </si>
  <si>
    <t>MAG Arabic 12 - 03</t>
  </si>
  <si>
    <t>AMAL BILAL JUMA</t>
  </si>
  <si>
    <t>0506001616</t>
  </si>
  <si>
    <t>MAG Arabic 16 - 09</t>
  </si>
  <si>
    <t>AHMED SALIM KHALFAN</t>
  </si>
  <si>
    <t>0547049092</t>
  </si>
  <si>
    <t>MAG Arabic 17 - 06</t>
  </si>
  <si>
    <t>KUN LI</t>
  </si>
  <si>
    <t>008613262805296</t>
  </si>
  <si>
    <t>MAG Arabic 7 - 04</t>
  </si>
  <si>
    <t>HAMASAH MANGAL</t>
  </si>
  <si>
    <t>00115106664254</t>
  </si>
  <si>
    <t>MAG Arabic 7 - 03</t>
  </si>
  <si>
    <t>BAIXING FU</t>
  </si>
  <si>
    <t>0559020858</t>
  </si>
  <si>
    <t>MAG Arabic 7 - 02</t>
  </si>
  <si>
    <t>JINSHI ZHANG</t>
  </si>
  <si>
    <t>0565880020</t>
  </si>
  <si>
    <t>MAG Arabic 7 - 01</t>
  </si>
  <si>
    <t>ABDULSAMAD ZAINUDDIN</t>
  </si>
  <si>
    <t>0504577160</t>
  </si>
  <si>
    <t>MAG Arabic 10 - 01</t>
  </si>
  <si>
    <t>JAWAD NAWAR</t>
  </si>
  <si>
    <t>004551504051</t>
  </si>
  <si>
    <t>MAG Spanish 2 - 06</t>
  </si>
  <si>
    <t>MOHAMMAD EMADUR RAHMAN</t>
  </si>
  <si>
    <t>0501555888</t>
  </si>
  <si>
    <t>MAG Spanish 2 - 03</t>
  </si>
  <si>
    <t>MAG Spanish 2 - 02</t>
  </si>
  <si>
    <t>MAG English 1 - 14</t>
  </si>
  <si>
    <t>GHALYA HUMAID EBRAHIM SULTAN</t>
  </si>
  <si>
    <t>0505064742</t>
  </si>
  <si>
    <t>MAG English 1 - 15</t>
  </si>
  <si>
    <t>HUMAID EBRAHIM SULTAN</t>
  </si>
  <si>
    <t>0506474242</t>
  </si>
  <si>
    <t>MAG English 1 - 12</t>
  </si>
  <si>
    <t>HEND HUMAID EBRAHIM</t>
  </si>
  <si>
    <t>MAG English 1 - 13</t>
  </si>
  <si>
    <t>SHAIKHA EBRAHOM SULTAN</t>
  </si>
  <si>
    <t>MAG English 1 - 11</t>
  </si>
  <si>
    <t>MAHRA HUMAID EBRAHIM</t>
  </si>
  <si>
    <t>MAG English 1 - 03</t>
  </si>
  <si>
    <t>SIYAD SALAHUDEEN JAMEELA</t>
  </si>
  <si>
    <t>0551076364</t>
  </si>
  <si>
    <t>MAG English 1 - 02</t>
  </si>
  <si>
    <t>AHMED RASHED OBAID</t>
  </si>
  <si>
    <t>0502772182</t>
  </si>
  <si>
    <t>MAG Arabic 12 - 08</t>
  </si>
  <si>
    <t>QIN LUE</t>
  </si>
  <si>
    <t>0552254388</t>
  </si>
  <si>
    <t>MAG Arabic 12 - 07</t>
  </si>
  <si>
    <t>MAG English 1 - 01</t>
  </si>
  <si>
    <t>HAMDAN YOUSEF ALSHEHHI</t>
  </si>
  <si>
    <t>0504774755</t>
  </si>
  <si>
    <t>MAG Arabic 12 - 01</t>
  </si>
  <si>
    <t>SURESH SHAMANNA</t>
  </si>
  <si>
    <t>0526081898</t>
  </si>
  <si>
    <t>MAG Arabic 14 - 15</t>
  </si>
  <si>
    <t>KARIMULLA SHAIK</t>
  </si>
  <si>
    <t>0503001369</t>
  </si>
  <si>
    <t>MAG Arabic 14 - 11</t>
  </si>
  <si>
    <t>FARAH DARWISH</t>
  </si>
  <si>
    <t>0502455543</t>
  </si>
  <si>
    <t>MAG Arabic 14 - 10</t>
  </si>
  <si>
    <t>KHALIL EBRAHIM ALI</t>
  </si>
  <si>
    <t>97333367577</t>
  </si>
  <si>
    <t>MAG Arabic 14 - 06</t>
  </si>
  <si>
    <t>ABDULLA ZAIN ALI</t>
  </si>
  <si>
    <t>0506161719</t>
  </si>
  <si>
    <t>MAG Bengali 2 - 02</t>
  </si>
  <si>
    <t>ANES ABOOBACKER</t>
  </si>
  <si>
    <t>0555644014</t>
  </si>
  <si>
    <t>MAG Arabic 13 - 14</t>
  </si>
  <si>
    <t>BESHER AROUD</t>
  </si>
  <si>
    <t>0586466401</t>
  </si>
  <si>
    <t>MAG Arabic 13 - 20</t>
  </si>
  <si>
    <t>SONIA MOUHLI</t>
  </si>
  <si>
    <t>33688759263</t>
  </si>
  <si>
    <t>sonia.mouhli@gmail.com</t>
  </si>
  <si>
    <t>MAG French 1 - 14</t>
  </si>
  <si>
    <t>FAEQ AHMED KHALAF</t>
  </si>
  <si>
    <t>0522079000</t>
  </si>
  <si>
    <t>MAG French 1 - 13</t>
  </si>
  <si>
    <t>MAG French 1 - 12</t>
  </si>
  <si>
    <t>MAG French 1 - 11</t>
  </si>
  <si>
    <t>MAG Bengali 2 - 01</t>
  </si>
  <si>
    <t>HARSH RAJENDRA THAKKAR</t>
  </si>
  <si>
    <t>0527811555</t>
  </si>
  <si>
    <t>MAG Arabic 14 - 05</t>
  </si>
  <si>
    <t>MAG English 3 - 10</t>
  </si>
  <si>
    <t>MAG Bengali 1 - 08</t>
  </si>
  <si>
    <t>XINYI GAO</t>
  </si>
  <si>
    <t>8616619741953</t>
  </si>
  <si>
    <t>MAG Bengali 1 - 02</t>
  </si>
  <si>
    <t>SAEED ABDULLA ALTASS</t>
  </si>
  <si>
    <t>0526744881</t>
  </si>
  <si>
    <t>MAG Urdu 2 - 07</t>
  </si>
  <si>
    <t>IBRAHIM ABDULLA ALTAS</t>
  </si>
  <si>
    <t>0527582555</t>
  </si>
  <si>
    <t>MAG Urdu 2 - 06</t>
  </si>
  <si>
    <t>ABISHEK SHARMA</t>
  </si>
  <si>
    <t>0505054852</t>
  </si>
  <si>
    <t>MAG English 3 - 04</t>
  </si>
  <si>
    <t>ELHAB ESAM</t>
  </si>
  <si>
    <t>0552839493</t>
  </si>
  <si>
    <t>MAG German 1 - 07</t>
  </si>
  <si>
    <t>KARIM ABDULAEV</t>
  </si>
  <si>
    <t>96775581999</t>
  </si>
  <si>
    <t>MAG English 3 - 03</t>
  </si>
  <si>
    <t>TAREK MHD SAMIR</t>
  </si>
  <si>
    <t>0555526279</t>
  </si>
  <si>
    <t>MAG Arabic 16 - 29</t>
  </si>
  <si>
    <t>LU XING</t>
  </si>
  <si>
    <t>0588941095</t>
  </si>
  <si>
    <t>MAG German 1 - 03</t>
  </si>
  <si>
    <t>MAG German 1 - 02</t>
  </si>
  <si>
    <t>MAG Japanese 2 - 08</t>
  </si>
  <si>
    <t>SARA SMIRI</t>
  </si>
  <si>
    <t>0046765763697</t>
  </si>
  <si>
    <t>MAG Arabic 16 - 21</t>
  </si>
  <si>
    <t>REZA HASSAN</t>
  </si>
  <si>
    <t>989121112321</t>
  </si>
  <si>
    <t>MAG Japanese 2 - 05</t>
  </si>
  <si>
    <t>HUI MA</t>
  </si>
  <si>
    <t>8618337225555</t>
  </si>
  <si>
    <t>MAG Arabic 16 - 13</t>
  </si>
  <si>
    <t>OTHAIBA RASHED MTAR</t>
  </si>
  <si>
    <t>0504481448</t>
  </si>
  <si>
    <t>MAG Arabic 16 - 20</t>
  </si>
  <si>
    <t>MAG Japanese 2 - 04</t>
  </si>
  <si>
    <t>SHIRAZ PURAYIL</t>
  </si>
  <si>
    <t>0561491494</t>
  </si>
  <si>
    <t>MAG Arabic 16 - 05</t>
  </si>
  <si>
    <t>MAG Arabic 16 - 04</t>
  </si>
  <si>
    <t>MAG Arabic 16 - 03</t>
  </si>
  <si>
    <t>NADYA ABDULLA MOHAMED</t>
  </si>
  <si>
    <t>0507082822</t>
  </si>
  <si>
    <t>MAG Japanese 1 - 02</t>
  </si>
  <si>
    <t>KONRAD EMIL</t>
  </si>
  <si>
    <t>966569709290</t>
  </si>
  <si>
    <t>MAG Arabic 16 - 02</t>
  </si>
  <si>
    <t>MAG Arabic 17 - 19</t>
  </si>
  <si>
    <t>IMRAN LATIF</t>
  </si>
  <si>
    <t>919923096334</t>
  </si>
  <si>
    <t>MAG Japanese 1 - 01</t>
  </si>
  <si>
    <t>AHMAD OMRAN</t>
  </si>
  <si>
    <t>963933914319</t>
  </si>
  <si>
    <t>MAG Arabic 17 - 16</t>
  </si>
  <si>
    <t>WASEEM SHAHID</t>
  </si>
  <si>
    <t>14164502919</t>
  </si>
  <si>
    <t>MAG Arabic 7 - 06</t>
  </si>
  <si>
    <t>MOHAMMED EMADUR RAHMAND</t>
  </si>
  <si>
    <t>MAG Arabic 7 - 05</t>
  </si>
  <si>
    <t>FAZLUR RAHMAN NAKHUDA</t>
  </si>
  <si>
    <t>0555574653</t>
  </si>
  <si>
    <t>MAG Arabic 17 - 03</t>
  </si>
  <si>
    <t>ZHILIANG TU</t>
  </si>
  <si>
    <t>0582978457</t>
  </si>
  <si>
    <t>MAG Arabic 17 - 10</t>
  </si>
  <si>
    <t>MAG Arabic 15 - 06</t>
  </si>
  <si>
    <t>ABDYLLA MOHAMMED</t>
  </si>
  <si>
    <t>0566361999</t>
  </si>
  <si>
    <t>MAG Arabic 15 - 08</t>
  </si>
  <si>
    <t>HAMID KIANY</t>
  </si>
  <si>
    <t>0555462330</t>
  </si>
  <si>
    <t>MAG Arabic 15 - 04</t>
  </si>
  <si>
    <t>MOHAMMED TARIQUE AHMED</t>
  </si>
  <si>
    <t>0557290670</t>
  </si>
  <si>
    <t>MAG Arabic 15 - 01</t>
  </si>
  <si>
    <t>MUNA OBAID HAMAD</t>
  </si>
  <si>
    <t>0506235400</t>
  </si>
  <si>
    <t>MAG Arabic 15 - 02</t>
  </si>
  <si>
    <t>JAAFAR SADEQ</t>
  </si>
  <si>
    <t>0502471887</t>
  </si>
  <si>
    <t>MAG Arabic 13 - 23</t>
  </si>
  <si>
    <t>FAISAL SIDDIQUI</t>
  </si>
  <si>
    <t>0504289220</t>
  </si>
  <si>
    <t>MAG Arabic 13 - 21</t>
  </si>
  <si>
    <t>NASREEN</t>
  </si>
  <si>
    <t>0585676977</t>
  </si>
  <si>
    <t>MAG Arabic 13 - 17</t>
  </si>
  <si>
    <t>ARUN KALYANA</t>
  </si>
  <si>
    <t>0507592889</t>
  </si>
  <si>
    <t>MAG Arabic 13 - 16</t>
  </si>
  <si>
    <t>JEAN GEORGE</t>
  </si>
  <si>
    <t>0526311713</t>
  </si>
  <si>
    <t>MAG Arabic 13 - 11</t>
  </si>
  <si>
    <t xml:space="preserve">AHMAD ALI </t>
  </si>
  <si>
    <t>0559576235</t>
  </si>
  <si>
    <t>MAG Arabic 13 - 15</t>
  </si>
  <si>
    <t>LOAY SAMI</t>
  </si>
  <si>
    <t>0566051531</t>
  </si>
  <si>
    <t>MAG Arabic 13 - 10</t>
  </si>
  <si>
    <t>HUSSAIN JESEEM</t>
  </si>
  <si>
    <t>0559216437</t>
  </si>
  <si>
    <t>MAG Arabic 13 - 08</t>
  </si>
  <si>
    <t>FEROZ SATTAR</t>
  </si>
  <si>
    <t>0559393130</t>
  </si>
  <si>
    <t>MAG Arabic 13 - 07</t>
  </si>
  <si>
    <t>MOHAMMAD ZAHID</t>
  </si>
  <si>
    <t>0507150365</t>
  </si>
  <si>
    <t>MAG Arabic 13 - 06</t>
  </si>
  <si>
    <t xml:space="preserve">BADER YASEEN </t>
  </si>
  <si>
    <t>96551016067</t>
  </si>
  <si>
    <t>MAG Arabic 13 - 04</t>
  </si>
  <si>
    <t>MARWAH MOHAMMED</t>
  </si>
  <si>
    <t>962792677776</t>
  </si>
  <si>
    <t>MAG Arabic 13 - 02</t>
  </si>
  <si>
    <t>REEM AL HADDAD</t>
  </si>
  <si>
    <t>0501668380</t>
  </si>
  <si>
    <t>MAG Arabic 13 - 01</t>
  </si>
  <si>
    <t>ANDREW ISAAC</t>
  </si>
  <si>
    <t>0501974400</t>
  </si>
  <si>
    <t>MAG Arabic 9 - 01</t>
  </si>
  <si>
    <t>SUAD TAHA</t>
  </si>
  <si>
    <t>0551288288</t>
  </si>
  <si>
    <t>MAG English 3 - 09</t>
  </si>
  <si>
    <t>MAHDI ABDULLAH</t>
  </si>
  <si>
    <t>966544946255</t>
  </si>
  <si>
    <t>MAG Arabic 15 - 05</t>
  </si>
  <si>
    <t>TRIPTA KATHURIA</t>
  </si>
  <si>
    <t>0504627034</t>
  </si>
  <si>
    <t>MAG English 5 - 23</t>
  </si>
  <si>
    <t>AYESHA YAAQOUB</t>
  </si>
  <si>
    <t>0501022260</t>
  </si>
  <si>
    <t>MAG English 5 - 24</t>
  </si>
  <si>
    <t xml:space="preserve">HAMAD ALI </t>
  </si>
  <si>
    <t>0504866477</t>
  </si>
  <si>
    <t>MAG English 5 - 26</t>
  </si>
  <si>
    <t>JUAN CHANG</t>
  </si>
  <si>
    <t>8613794888608</t>
  </si>
  <si>
    <t>MAG English 5 - 27</t>
  </si>
  <si>
    <t>SHAIMA NASSER ABDULLA</t>
  </si>
  <si>
    <t>0504545315</t>
  </si>
  <si>
    <t>MAG English 5 - 30</t>
  </si>
  <si>
    <t>MOHAMED EID</t>
  </si>
  <si>
    <t>0504892000</t>
  </si>
  <si>
    <t>MAG English 5 - 32</t>
  </si>
  <si>
    <t>MOUZA THANI</t>
  </si>
  <si>
    <t>0506114252</t>
  </si>
  <si>
    <t>MAG Portuguese 1 - 01</t>
  </si>
  <si>
    <t>PURVI VEGDA</t>
  </si>
  <si>
    <t>0504568395</t>
  </si>
  <si>
    <t>MAG Portuguese 1 - 02</t>
  </si>
  <si>
    <t>ROHIT KUMAR</t>
  </si>
  <si>
    <t>0507883577</t>
  </si>
  <si>
    <t>MAG Portuguese 1 - 03</t>
  </si>
  <si>
    <t>DELLA REZA</t>
  </si>
  <si>
    <t>MAG Portuguese 1 - 04</t>
  </si>
  <si>
    <t>AFRA ABDULLA</t>
  </si>
  <si>
    <t>0506635277</t>
  </si>
  <si>
    <t>MAG Portuguese 1 - 05</t>
  </si>
  <si>
    <t>AISHWARYA SUBRAMANYAN</t>
  </si>
  <si>
    <t>0505988762</t>
  </si>
  <si>
    <t>MAG Portuguese 1 - 06</t>
  </si>
  <si>
    <t>AMIR PARVEZ</t>
  </si>
  <si>
    <t>0509548712</t>
  </si>
  <si>
    <t>MAG Portuguese 1 - 07</t>
  </si>
  <si>
    <t>ATISH SINGHAL</t>
  </si>
  <si>
    <t>919811884373</t>
  </si>
  <si>
    <t>MAG Portuguese 1 - 08</t>
  </si>
  <si>
    <t>MAG Portuguese 1 - 09</t>
  </si>
  <si>
    <t>AWATEF HASSAN</t>
  </si>
  <si>
    <t>0503910999</t>
  </si>
  <si>
    <t>MAG Portuguese 1 - 10</t>
  </si>
  <si>
    <t>EBRAHIM YOOSEF</t>
  </si>
  <si>
    <t>0509922114</t>
  </si>
  <si>
    <t>MAG Arabic 5 - 08</t>
  </si>
  <si>
    <t>ALI SALEM</t>
  </si>
  <si>
    <t>0509993926</t>
  </si>
  <si>
    <t>MAG Arabic 1 - 10</t>
  </si>
  <si>
    <t>DARWIN NAIR</t>
  </si>
  <si>
    <t>0502171632</t>
  </si>
  <si>
    <t>MAG Arabic 5 - 15</t>
  </si>
  <si>
    <t>TAMER MOHAMD GHAZI</t>
  </si>
  <si>
    <t>0529899508</t>
  </si>
  <si>
    <t>MAG Arabic 1 - 14</t>
  </si>
  <si>
    <t>SHAMMA HAMAD HAREB</t>
  </si>
  <si>
    <t>0502331100</t>
  </si>
  <si>
    <t>MAG Arabic 1 - 12</t>
  </si>
  <si>
    <t>MAYTHA HAMAD HAREB</t>
  </si>
  <si>
    <t>0502420202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</si>
</sst>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/>
    <xf numFmtId="0" fontId="4" fillId="0" borderId="0" xfId="1" applyAlignment="1" applyProtection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onia.mouhli@gmail.com" TargetMode="External"/><Relationship Id="rId3" Type="http://schemas.openxmlformats.org/officeDocument/2006/relationships/hyperlink" Target="mailto:jehad.amin@live.com" TargetMode="External"/><Relationship Id="rId7" Type="http://schemas.openxmlformats.org/officeDocument/2006/relationships/hyperlink" Target="mailto:rehmat.waqas@gmail.com" TargetMode="External"/><Relationship Id="rId2" Type="http://schemas.openxmlformats.org/officeDocument/2006/relationships/hyperlink" Target="mailto:bofz3ah@hotmail.com" TargetMode="External"/><Relationship Id="rId1" Type="http://schemas.openxmlformats.org/officeDocument/2006/relationships/hyperlink" Target="mailto:thunayyan16@gmail.com" TargetMode="External"/><Relationship Id="rId6" Type="http://schemas.openxmlformats.org/officeDocument/2006/relationships/hyperlink" Target="mailto:abdulla.albastaki@icloud.com" TargetMode="External"/><Relationship Id="rId5" Type="http://schemas.openxmlformats.org/officeDocument/2006/relationships/hyperlink" Target="mailto:jayjeet20@yahoo.com" TargetMode="External"/><Relationship Id="rId4" Type="http://schemas.openxmlformats.org/officeDocument/2006/relationships/hyperlink" Target="mailto:shanod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206"/>
  <sheetViews>
    <sheetView tabSelected="1" workbookViewId="0">
      <selection activeCell="B1" sqref="B1:B1048576"/>
    </sheetView>
  </sheetViews>
  <sheetFormatPr defaultRowHeight="15" x14ac:dyDescent="0.25"/>
  <cols>
    <col min="1" max="1" width="10.5703125" bestFit="1" customWidth="1"/>
    <col min="2" max="2" width="22.28515625" style="5" bestFit="1" customWidth="1"/>
    <col min="3" max="3" width="4.7109375" hidden="1" customWidth="1"/>
    <col min="4" max="4" width="6.5703125" style="5" hidden="1" customWidth="1"/>
    <col min="5" max="5" width="21.85546875" style="5" bestFit="1" customWidth="1"/>
    <col min="6" max="6" width="34.42578125" bestFit="1" customWidth="1"/>
    <col min="7" max="7" width="15.140625" style="3" bestFit="1" customWidth="1"/>
    <col min="8" max="8" width="24.85546875" bestFit="1" customWidth="1"/>
    <col min="9" max="9" width="16.140625" style="3" bestFit="1" customWidth="1"/>
    <col min="10" max="10" width="19.42578125" bestFit="1" customWidth="1"/>
  </cols>
  <sheetData>
    <row r="1" spans="1:10" x14ac:dyDescent="0.25">
      <c r="A1" s="1" t="s">
        <v>5</v>
      </c>
      <c r="B1" s="1" t="s">
        <v>34</v>
      </c>
      <c r="C1" s="1" t="s">
        <v>6</v>
      </c>
      <c r="D1" s="1" t="s">
        <v>7</v>
      </c>
      <c r="E1" s="1" t="s">
        <v>8</v>
      </c>
      <c r="F1" s="1" t="s">
        <v>0</v>
      </c>
      <c r="G1" s="2" t="s">
        <v>1</v>
      </c>
      <c r="H1" s="1" t="s">
        <v>2</v>
      </c>
      <c r="I1" s="2" t="s">
        <v>3</v>
      </c>
      <c r="J1" s="2" t="s">
        <v>4</v>
      </c>
    </row>
    <row r="2" spans="1:10" x14ac:dyDescent="0.25">
      <c r="A2">
        <v>353821762</v>
      </c>
      <c r="B2" s="5" t="s">
        <v>41</v>
      </c>
      <c r="C2" t="s">
        <v>9</v>
      </c>
      <c r="D2" s="6">
        <v>10</v>
      </c>
      <c r="E2" s="5" t="str">
        <f>CONCATENATE(C2,"-",D2)</f>
        <v>TH17-10</v>
      </c>
      <c r="F2" t="s">
        <v>10</v>
      </c>
      <c r="G2" s="3" t="s">
        <v>11</v>
      </c>
      <c r="H2" s="4" t="s">
        <v>12</v>
      </c>
      <c r="J2" s="3"/>
    </row>
    <row r="3" spans="1:10" x14ac:dyDescent="0.25">
      <c r="A3">
        <v>353831558</v>
      </c>
      <c r="B3" s="5" t="s">
        <v>40</v>
      </c>
      <c r="C3" t="s">
        <v>13</v>
      </c>
      <c r="D3" s="5">
        <v>7</v>
      </c>
      <c r="E3" s="5" t="str">
        <f>CONCATENATE(C3,"-",D3)</f>
        <v>TH30-7</v>
      </c>
      <c r="F3" t="s">
        <v>14</v>
      </c>
      <c r="G3" s="3" t="s">
        <v>15</v>
      </c>
      <c r="H3" s="4" t="s">
        <v>16</v>
      </c>
    </row>
    <row r="4" spans="1:10" x14ac:dyDescent="0.25">
      <c r="A4">
        <v>353825854</v>
      </c>
      <c r="B4" s="5" t="s">
        <v>39</v>
      </c>
      <c r="C4" t="s">
        <v>19</v>
      </c>
      <c r="D4" s="5">
        <v>25</v>
      </c>
      <c r="E4" s="5" t="str">
        <f>CONCATENATE(C4,"-",D4)</f>
        <v>TH-25</v>
      </c>
      <c r="F4" t="s">
        <v>17</v>
      </c>
      <c r="G4" s="3" t="s">
        <v>18</v>
      </c>
    </row>
    <row r="5" spans="1:10" x14ac:dyDescent="0.25">
      <c r="A5">
        <v>353816306</v>
      </c>
      <c r="B5" s="5" t="s">
        <v>38</v>
      </c>
      <c r="C5" t="s">
        <v>20</v>
      </c>
      <c r="D5" s="5">
        <v>17</v>
      </c>
      <c r="E5" s="5" t="str">
        <f t="shared" ref="E5:E68" si="0">CONCATENATE(C5,"-",D5)</f>
        <v>TH14-17</v>
      </c>
      <c r="F5" t="s">
        <v>21</v>
      </c>
      <c r="G5" s="3" t="s">
        <v>22</v>
      </c>
    </row>
    <row r="6" spans="1:10" x14ac:dyDescent="0.25">
      <c r="A6">
        <v>353819158</v>
      </c>
      <c r="B6" s="5" t="s">
        <v>37</v>
      </c>
      <c r="C6" t="s">
        <v>23</v>
      </c>
      <c r="D6" s="5">
        <v>2</v>
      </c>
      <c r="E6" s="5" t="str">
        <f t="shared" si="0"/>
        <v>TH16-2</v>
      </c>
      <c r="F6" t="s">
        <v>24</v>
      </c>
      <c r="G6" s="3" t="s">
        <v>25</v>
      </c>
    </row>
    <row r="7" spans="1:10" x14ac:dyDescent="0.25">
      <c r="A7">
        <v>353818910</v>
      </c>
      <c r="B7" s="5" t="s">
        <v>36</v>
      </c>
      <c r="C7" t="s">
        <v>26</v>
      </c>
      <c r="D7" s="5">
        <v>19</v>
      </c>
      <c r="E7" s="5" t="str">
        <f t="shared" si="0"/>
        <v>TH15-19</v>
      </c>
      <c r="F7" t="s">
        <v>27</v>
      </c>
      <c r="G7" s="3" t="s">
        <v>28</v>
      </c>
    </row>
    <row r="8" spans="1:10" x14ac:dyDescent="0.25">
      <c r="A8">
        <v>353818662</v>
      </c>
      <c r="B8" s="5" t="s">
        <v>35</v>
      </c>
      <c r="C8" t="s">
        <v>26</v>
      </c>
      <c r="D8" s="5">
        <v>17</v>
      </c>
      <c r="E8" s="5" t="str">
        <f t="shared" si="0"/>
        <v>TH15-17</v>
      </c>
      <c r="F8" t="s">
        <v>29</v>
      </c>
      <c r="G8" s="3" t="s">
        <v>30</v>
      </c>
      <c r="H8" s="4"/>
    </row>
    <row r="9" spans="1:10" x14ac:dyDescent="0.25">
      <c r="A9">
        <v>353818538</v>
      </c>
      <c r="B9" s="5" t="s">
        <v>33</v>
      </c>
      <c r="C9" t="s">
        <v>26</v>
      </c>
      <c r="D9" s="5">
        <v>16</v>
      </c>
      <c r="E9" s="5" t="str">
        <f t="shared" si="0"/>
        <v>TH15-16</v>
      </c>
      <c r="F9" t="s">
        <v>31</v>
      </c>
      <c r="G9" s="3" t="s">
        <v>32</v>
      </c>
    </row>
    <row r="10" spans="1:10" x14ac:dyDescent="0.25">
      <c r="A10">
        <v>353818290</v>
      </c>
      <c r="B10" s="5" t="s">
        <v>42</v>
      </c>
      <c r="C10" t="s">
        <v>26</v>
      </c>
      <c r="D10" s="5">
        <v>14</v>
      </c>
      <c r="E10" s="5" t="str">
        <f t="shared" si="0"/>
        <v>TH15-14</v>
      </c>
      <c r="F10" t="s">
        <v>43</v>
      </c>
      <c r="G10" s="3" t="s">
        <v>44</v>
      </c>
      <c r="H10" s="4" t="s">
        <v>45</v>
      </c>
    </row>
    <row r="11" spans="1:10" x14ac:dyDescent="0.25">
      <c r="A11">
        <v>353818166</v>
      </c>
      <c r="B11" s="5" t="s">
        <v>46</v>
      </c>
      <c r="C11" t="s">
        <v>26</v>
      </c>
      <c r="D11" s="5">
        <v>13</v>
      </c>
      <c r="E11" s="5" t="str">
        <f t="shared" si="0"/>
        <v>TH15-13</v>
      </c>
      <c r="F11" t="s">
        <v>47</v>
      </c>
      <c r="G11" s="3" t="s">
        <v>48</v>
      </c>
    </row>
    <row r="12" spans="1:10" x14ac:dyDescent="0.25">
      <c r="A12">
        <v>353817670</v>
      </c>
      <c r="B12" s="5" t="s">
        <v>49</v>
      </c>
      <c r="C12" t="s">
        <v>26</v>
      </c>
      <c r="D12" s="5">
        <v>9</v>
      </c>
      <c r="E12" s="5" t="str">
        <f t="shared" si="0"/>
        <v>TH15-9</v>
      </c>
      <c r="F12" t="s">
        <v>50</v>
      </c>
      <c r="G12" s="3" t="s">
        <v>54</v>
      </c>
    </row>
    <row r="13" spans="1:10" x14ac:dyDescent="0.25">
      <c r="A13">
        <v>353818042</v>
      </c>
      <c r="B13" s="5" t="s">
        <v>51</v>
      </c>
      <c r="C13" t="s">
        <v>26</v>
      </c>
      <c r="D13" s="5">
        <v>12</v>
      </c>
      <c r="E13" s="5" t="str">
        <f t="shared" si="0"/>
        <v>TH15-12</v>
      </c>
      <c r="F13" t="s">
        <v>52</v>
      </c>
      <c r="G13" s="3" t="s">
        <v>53</v>
      </c>
    </row>
    <row r="14" spans="1:10" x14ac:dyDescent="0.25">
      <c r="A14">
        <v>353817422</v>
      </c>
      <c r="B14" s="5" t="s">
        <v>55</v>
      </c>
      <c r="C14" t="s">
        <v>26</v>
      </c>
      <c r="D14" s="5">
        <v>7</v>
      </c>
      <c r="E14" s="5" t="str">
        <f t="shared" si="0"/>
        <v>TH15-7</v>
      </c>
      <c r="F14" t="s">
        <v>56</v>
      </c>
      <c r="G14" s="3" t="s">
        <v>57</v>
      </c>
    </row>
    <row r="15" spans="1:10" x14ac:dyDescent="0.25">
      <c r="A15">
        <v>353817050</v>
      </c>
      <c r="B15" s="5" t="s">
        <v>58</v>
      </c>
      <c r="C15" t="s">
        <v>26</v>
      </c>
      <c r="D15" s="5">
        <v>4</v>
      </c>
      <c r="E15" s="5" t="str">
        <f t="shared" si="0"/>
        <v>TH15-4</v>
      </c>
      <c r="F15" t="s">
        <v>59</v>
      </c>
      <c r="G15" s="3" t="s">
        <v>60</v>
      </c>
      <c r="H15" s="4"/>
    </row>
    <row r="16" spans="1:10" x14ac:dyDescent="0.25">
      <c r="A16">
        <v>353816802</v>
      </c>
      <c r="B16" s="5" t="s">
        <v>61</v>
      </c>
      <c r="C16" t="s">
        <v>26</v>
      </c>
      <c r="D16" s="5">
        <v>2</v>
      </c>
      <c r="E16" s="5" t="str">
        <f t="shared" si="0"/>
        <v>TH15-2</v>
      </c>
      <c r="F16" t="s">
        <v>62</v>
      </c>
      <c r="G16" s="3" t="s">
        <v>63</v>
      </c>
    </row>
    <row r="17" spans="1:8" x14ac:dyDescent="0.25">
      <c r="A17">
        <v>353816554</v>
      </c>
      <c r="B17" s="5" t="s">
        <v>64</v>
      </c>
      <c r="C17" t="s">
        <v>20</v>
      </c>
      <c r="D17" s="5">
        <v>19</v>
      </c>
      <c r="E17" s="5" t="str">
        <f t="shared" si="0"/>
        <v>TH14-19</v>
      </c>
      <c r="F17" t="s">
        <v>65</v>
      </c>
      <c r="G17" s="3" t="s">
        <v>66</v>
      </c>
    </row>
    <row r="18" spans="1:8" x14ac:dyDescent="0.25">
      <c r="A18">
        <v>353816430</v>
      </c>
      <c r="B18" s="5" t="s">
        <v>67</v>
      </c>
      <c r="C18" t="s">
        <v>20</v>
      </c>
      <c r="D18" s="5">
        <v>18</v>
      </c>
      <c r="E18" s="5" t="str">
        <f t="shared" si="0"/>
        <v>TH14-18</v>
      </c>
      <c r="F18" t="s">
        <v>68</v>
      </c>
      <c r="G18" s="3" t="s">
        <v>22</v>
      </c>
    </row>
    <row r="19" spans="1:8" x14ac:dyDescent="0.25">
      <c r="A19">
        <v>353816182</v>
      </c>
      <c r="B19" s="5" t="s">
        <v>69</v>
      </c>
      <c r="C19" t="s">
        <v>20</v>
      </c>
      <c r="D19" s="5" t="str">
        <f>RIGHT(B19,FIND("-",B19)-12)</f>
        <v xml:space="preserve"> 16</v>
      </c>
      <c r="E19" s="5" t="str">
        <f t="shared" si="0"/>
        <v>TH14- 16</v>
      </c>
      <c r="F19" t="s">
        <v>70</v>
      </c>
      <c r="G19" s="3" t="s">
        <v>22</v>
      </c>
    </row>
    <row r="20" spans="1:8" x14ac:dyDescent="0.25">
      <c r="A20">
        <v>353816058</v>
      </c>
      <c r="B20" s="5" t="s">
        <v>71</v>
      </c>
      <c r="C20" t="s">
        <v>20</v>
      </c>
      <c r="D20" s="5" t="str">
        <f t="shared" ref="D20:D55" si="1">RIGHT(B20,FIND("-",B20)-12)</f>
        <v xml:space="preserve"> 15</v>
      </c>
      <c r="E20" s="5" t="str">
        <f t="shared" si="0"/>
        <v>TH14- 15</v>
      </c>
      <c r="F20" t="s">
        <v>72</v>
      </c>
      <c r="G20" s="3" t="s">
        <v>73</v>
      </c>
    </row>
    <row r="21" spans="1:8" x14ac:dyDescent="0.25">
      <c r="A21">
        <v>353815934</v>
      </c>
      <c r="B21" s="5" t="s">
        <v>74</v>
      </c>
      <c r="C21" t="s">
        <v>20</v>
      </c>
      <c r="D21" s="5" t="str">
        <f t="shared" si="1"/>
        <v xml:space="preserve"> 14</v>
      </c>
      <c r="E21" s="5" t="str">
        <f t="shared" si="0"/>
        <v>TH14- 14</v>
      </c>
      <c r="F21" t="s">
        <v>75</v>
      </c>
      <c r="G21" s="3" t="s">
        <v>76</v>
      </c>
    </row>
    <row r="22" spans="1:8" x14ac:dyDescent="0.25">
      <c r="A22">
        <v>353815810</v>
      </c>
      <c r="B22" s="5" t="s">
        <v>77</v>
      </c>
      <c r="C22" t="s">
        <v>20</v>
      </c>
      <c r="D22" s="5" t="str">
        <f t="shared" si="1"/>
        <v xml:space="preserve"> 13</v>
      </c>
      <c r="E22" s="5" t="str">
        <f t="shared" si="0"/>
        <v>TH14- 13</v>
      </c>
      <c r="F22" t="s">
        <v>78</v>
      </c>
      <c r="G22" s="3" t="s">
        <v>79</v>
      </c>
    </row>
    <row r="23" spans="1:8" x14ac:dyDescent="0.25">
      <c r="A23">
        <v>353815686</v>
      </c>
      <c r="B23" s="5" t="s">
        <v>80</v>
      </c>
      <c r="C23" t="s">
        <v>20</v>
      </c>
      <c r="D23" s="5" t="str">
        <f t="shared" si="1"/>
        <v xml:space="preserve"> 12</v>
      </c>
      <c r="E23" s="5" t="str">
        <f t="shared" si="0"/>
        <v>TH14- 12</v>
      </c>
      <c r="F23" t="s">
        <v>81</v>
      </c>
      <c r="G23" s="3" t="s">
        <v>82</v>
      </c>
    </row>
    <row r="24" spans="1:8" x14ac:dyDescent="0.25">
      <c r="A24">
        <v>353815562</v>
      </c>
      <c r="B24" s="5" t="s">
        <v>84</v>
      </c>
      <c r="C24" t="str">
        <f>IF(1=COUNTIF(B24,"MAG English*"),"TH14",IF(1=COUNTIF(B24,"MAG Arabic*"),"TH15",IF(1=COUNTIF(B24,"MAG Bengali*"),"TH3","")))</f>
        <v>TH14</v>
      </c>
      <c r="D24" s="5" t="str">
        <f t="shared" si="1"/>
        <v xml:space="preserve"> 11</v>
      </c>
      <c r="E24" s="5" t="str">
        <f t="shared" si="0"/>
        <v>TH14- 11</v>
      </c>
      <c r="F24" t="s">
        <v>85</v>
      </c>
      <c r="G24" s="3" t="s">
        <v>86</v>
      </c>
    </row>
    <row r="25" spans="1:8" x14ac:dyDescent="0.25">
      <c r="A25">
        <v>353815190</v>
      </c>
      <c r="B25" s="5" t="s">
        <v>83</v>
      </c>
      <c r="C25" t="str">
        <f>IF(1=COUNTIF(B25,"MAG English*"),"TH14",IF(1=COUNTIF(B25,"MAG Arabic*"),"TH15",IF(1=COUNTIF(B25,"MAG Bengali*"),"TH3","")))</f>
        <v>TH14</v>
      </c>
      <c r="D25" s="5" t="str">
        <f t="shared" si="1"/>
        <v xml:space="preserve"> 08</v>
      </c>
      <c r="E25" s="5" t="str">
        <f t="shared" si="0"/>
        <v>TH14- 08</v>
      </c>
      <c r="F25" t="s">
        <v>87</v>
      </c>
      <c r="G25" s="3" t="s">
        <v>88</v>
      </c>
      <c r="H25" s="4" t="s">
        <v>89</v>
      </c>
    </row>
    <row r="26" spans="1:8" x14ac:dyDescent="0.25">
      <c r="A26">
        <v>353815056</v>
      </c>
      <c r="B26" s="5" t="s">
        <v>90</v>
      </c>
      <c r="C26" t="str">
        <f>IF(1=COUNTIF(B26,"MAG English*"),"TH14",IF(1=COUNTIF(B26,"MAG Arabic*"),"TH15",IF(1=COUNTIF(B26,"MAG Bengali*"),"TH30","")))</f>
        <v>TH14</v>
      </c>
      <c r="D26" s="5" t="str">
        <f t="shared" si="1"/>
        <v xml:space="preserve"> 07</v>
      </c>
      <c r="E26" s="5" t="str">
        <f t="shared" si="0"/>
        <v>TH14- 07</v>
      </c>
      <c r="F26" t="s">
        <v>91</v>
      </c>
      <c r="G26" s="3" t="s">
        <v>92</v>
      </c>
    </row>
    <row r="27" spans="1:8" x14ac:dyDescent="0.25">
      <c r="A27">
        <v>353813568</v>
      </c>
      <c r="B27" s="5" t="s">
        <v>93</v>
      </c>
      <c r="C27" t="str">
        <f t="shared" ref="C27:C33" si="2">IF(1=COUNTIF(B27,"MAG English*"),"TH14",IF(1=COUNTIF(B27,"MAG Arabic 14*"),"TH15",IF(1=COUNTIF(B27,"MAG Bengali*"),"TH30",IF(1=COUNTIF(B27,"MAG Arabic 16*"),"TH12",""))))</f>
        <v>TH12</v>
      </c>
      <c r="D27" s="5" t="str">
        <f t="shared" si="1"/>
        <v xml:space="preserve"> 27</v>
      </c>
      <c r="E27" s="5" t="str">
        <f t="shared" si="0"/>
        <v>TH12- 27</v>
      </c>
      <c r="F27" t="s">
        <v>94</v>
      </c>
      <c r="G27" s="3" t="s">
        <v>95</v>
      </c>
      <c r="H27" s="4" t="s">
        <v>96</v>
      </c>
    </row>
    <row r="28" spans="1:8" x14ac:dyDescent="0.25">
      <c r="A28">
        <v>353814932</v>
      </c>
      <c r="B28" s="5" t="s">
        <v>97</v>
      </c>
      <c r="C28" t="str">
        <f t="shared" si="2"/>
        <v>TH14</v>
      </c>
      <c r="D28" s="5" t="str">
        <f t="shared" si="1"/>
        <v xml:space="preserve"> 06</v>
      </c>
      <c r="E28" s="5" t="str">
        <f t="shared" si="0"/>
        <v>TH14- 06</v>
      </c>
      <c r="F28" t="s">
        <v>98</v>
      </c>
      <c r="G28" s="3" t="s">
        <v>99</v>
      </c>
    </row>
    <row r="29" spans="1:8" x14ac:dyDescent="0.25">
      <c r="A29">
        <v>353811460</v>
      </c>
      <c r="B29" s="5" t="s">
        <v>100</v>
      </c>
      <c r="C29" t="str">
        <f t="shared" si="2"/>
        <v>TH12</v>
      </c>
      <c r="D29" s="5" t="str">
        <f t="shared" si="1"/>
        <v xml:space="preserve"> 10</v>
      </c>
      <c r="E29" s="5" t="str">
        <f t="shared" si="0"/>
        <v>TH12- 10</v>
      </c>
      <c r="F29" t="s">
        <v>101</v>
      </c>
      <c r="G29" s="3" t="s">
        <v>102</v>
      </c>
      <c r="H29" s="4" t="s">
        <v>103</v>
      </c>
    </row>
    <row r="30" spans="1:8" x14ac:dyDescent="0.25">
      <c r="A30">
        <v>353812948</v>
      </c>
      <c r="B30" s="5" t="s">
        <v>104</v>
      </c>
      <c r="C30" t="str">
        <f t="shared" si="2"/>
        <v>TH12</v>
      </c>
      <c r="D30" s="5" t="str">
        <f t="shared" si="1"/>
        <v xml:space="preserve"> 22</v>
      </c>
      <c r="E30" s="5" t="str">
        <f t="shared" si="0"/>
        <v>TH12- 22</v>
      </c>
      <c r="F30" t="s">
        <v>105</v>
      </c>
      <c r="G30" s="3" t="s">
        <v>106</v>
      </c>
    </row>
    <row r="31" spans="1:8" x14ac:dyDescent="0.25">
      <c r="A31">
        <v>353813072</v>
      </c>
      <c r="B31" s="5" t="s">
        <v>107</v>
      </c>
      <c r="C31" t="str">
        <f t="shared" si="2"/>
        <v>TH12</v>
      </c>
      <c r="D31" s="5" t="str">
        <f t="shared" si="1"/>
        <v xml:space="preserve"> 23</v>
      </c>
      <c r="E31" s="5" t="str">
        <f t="shared" si="0"/>
        <v>TH12- 23</v>
      </c>
      <c r="F31" t="s">
        <v>108</v>
      </c>
      <c r="G31" s="3" t="s">
        <v>109</v>
      </c>
    </row>
    <row r="32" spans="1:8" x14ac:dyDescent="0.25">
      <c r="A32">
        <v>353813196</v>
      </c>
      <c r="B32" s="5" t="s">
        <v>110</v>
      </c>
      <c r="C32" t="str">
        <f t="shared" si="2"/>
        <v>TH12</v>
      </c>
      <c r="D32" s="5" t="str">
        <f t="shared" si="1"/>
        <v xml:space="preserve"> 24</v>
      </c>
      <c r="E32" s="5" t="str">
        <f t="shared" si="0"/>
        <v>TH12- 24</v>
      </c>
      <c r="F32" t="s">
        <v>111</v>
      </c>
      <c r="G32" s="3" t="s">
        <v>112</v>
      </c>
      <c r="H32" s="4"/>
    </row>
    <row r="33" spans="1:8" x14ac:dyDescent="0.25">
      <c r="A33">
        <v>353812576</v>
      </c>
      <c r="B33" s="5" t="s">
        <v>113</v>
      </c>
      <c r="C33" t="str">
        <f t="shared" si="2"/>
        <v>TH12</v>
      </c>
      <c r="D33" s="5" t="str">
        <f t="shared" si="1"/>
        <v xml:space="preserve"> 19</v>
      </c>
      <c r="E33" s="5" t="str">
        <f t="shared" si="0"/>
        <v>TH12- 19</v>
      </c>
      <c r="F33" t="s">
        <v>114</v>
      </c>
      <c r="G33" s="3" t="s">
        <v>115</v>
      </c>
    </row>
    <row r="34" spans="1:8" x14ac:dyDescent="0.25">
      <c r="A34">
        <v>353839370</v>
      </c>
      <c r="B34" s="5" t="s">
        <v>119</v>
      </c>
      <c r="C34" t="str">
        <f>IF(1=COUNTIF(B34,"MAG English*"),"TH14",IF(1=COUNTIF(B34,"MAG Arabic 14*"),"TH15",IF(1=COUNTIF(B34,"MAG Bengali*"),"TH30",IF(1=COUNTIF(B34,"MAG Arabic 16*"),"TH12",IF(1=COUNTIF(B34,"MAG Portuguese 02*"),"TH36",IF(1=COUNTIF(B34,"MAG Indonesian 02*"),"TH34",""))))))</f>
        <v>TH36</v>
      </c>
      <c r="D34" s="5" t="str">
        <f t="shared" si="1"/>
        <v>02 - 08</v>
      </c>
      <c r="E34" s="5" t="str">
        <f t="shared" si="0"/>
        <v>TH36-02 - 08</v>
      </c>
      <c r="F34" t="s">
        <v>116</v>
      </c>
      <c r="G34" s="3" t="s">
        <v>117</v>
      </c>
      <c r="H34" s="4" t="s">
        <v>118</v>
      </c>
    </row>
    <row r="35" spans="1:8" x14ac:dyDescent="0.25">
      <c r="A35">
        <v>353838254</v>
      </c>
      <c r="B35" s="5" t="s">
        <v>120</v>
      </c>
      <c r="C35" t="str">
        <f>IF(1=COUNTIF(B35,"MAG English*"),"TH14",IF(1=COUNTIF(B35,"MAG Arabic 14*"),"TH15",IF(1=COUNTIF(B35,"MAG Bengali*"),"TH30",IF(1=COUNTIF(B35,"MAG Arabic 16*"),"TH12",IF(1=COUNTIF(B35,"MAG Portuguese 02*"),"TH36",IF(1=COUNTIF(B35,"MAG Indonesian 02*"),"TH34",""))))))</f>
        <v>TH34</v>
      </c>
      <c r="D35" s="5" t="str">
        <f t="shared" si="1"/>
        <v>02 - 09</v>
      </c>
      <c r="E35" s="5" t="str">
        <f t="shared" si="0"/>
        <v>TH34-02 - 09</v>
      </c>
      <c r="F35" t="s">
        <v>121</v>
      </c>
      <c r="G35" s="3" t="s">
        <v>122</v>
      </c>
      <c r="H35" s="4"/>
    </row>
    <row r="36" spans="1:8" x14ac:dyDescent="0.25">
      <c r="A36">
        <v>353837510</v>
      </c>
      <c r="B36" s="5" t="s">
        <v>123</v>
      </c>
      <c r="C36" t="str">
        <f t="shared" ref="C36:C50" si="3">IF(1=COUNTIF(B36,"MAG English*"),"TH14",IF(1=COUNTIF(B36,"MAG Arabic 14*"),"TH15",IF(1=COUNTIF(B36,"MAG Bengali*"),"TH30",IF(1=COUNTIF(B36,"MAG Arabic 16*"),"TH12",IF(1=COUNTIF(B36,"MAG Portuguese 02*"),"TH36",IF(1=COUNTIF(B36,"MAG Indonesian 02*"),"TH34",IF(1=COUNTIF(B36,"MAG French 1*"),"TH31","")))))))</f>
        <v>TH34</v>
      </c>
      <c r="D36" s="5" t="str">
        <f t="shared" si="1"/>
        <v>02 - 03</v>
      </c>
      <c r="E36" s="5" t="str">
        <f t="shared" si="0"/>
        <v>TH34-02 - 03</v>
      </c>
      <c r="F36" t="s">
        <v>124</v>
      </c>
      <c r="G36" s="3" t="s">
        <v>125</v>
      </c>
    </row>
    <row r="37" spans="1:8" x14ac:dyDescent="0.25">
      <c r="A37">
        <v>353834658</v>
      </c>
      <c r="B37" s="5" t="s">
        <v>126</v>
      </c>
      <c r="C37" t="str">
        <f t="shared" si="3"/>
        <v>TH31</v>
      </c>
      <c r="D37" s="5" t="str">
        <f t="shared" si="1"/>
        <v>16</v>
      </c>
      <c r="E37" s="5" t="str">
        <f t="shared" si="0"/>
        <v>TH31-16</v>
      </c>
      <c r="F37" t="s">
        <v>127</v>
      </c>
      <c r="G37" s="3" t="s">
        <v>128</v>
      </c>
    </row>
    <row r="38" spans="1:8" x14ac:dyDescent="0.25">
      <c r="A38">
        <v>353834534</v>
      </c>
      <c r="B38" s="5" t="s">
        <v>129</v>
      </c>
      <c r="C38" t="str">
        <f t="shared" si="3"/>
        <v>TH31</v>
      </c>
      <c r="D38" s="5" t="str">
        <f t="shared" si="1"/>
        <v>15</v>
      </c>
      <c r="E38" s="5" t="str">
        <f t="shared" si="0"/>
        <v>TH31-15</v>
      </c>
      <c r="F38" t="s">
        <v>130</v>
      </c>
      <c r="G38" s="3" t="s">
        <v>131</v>
      </c>
    </row>
    <row r="39" spans="1:8" x14ac:dyDescent="0.25">
      <c r="A39">
        <v>353833914</v>
      </c>
      <c r="B39" s="5" t="s">
        <v>132</v>
      </c>
      <c r="C39" t="str">
        <f t="shared" si="3"/>
        <v>TH31</v>
      </c>
      <c r="D39" s="5" t="str">
        <f t="shared" si="1"/>
        <v>10</v>
      </c>
      <c r="E39" s="5" t="str">
        <f t="shared" si="0"/>
        <v>TH31-10</v>
      </c>
      <c r="F39" t="s">
        <v>133</v>
      </c>
      <c r="G39" s="3" t="s">
        <v>134</v>
      </c>
    </row>
    <row r="40" spans="1:8" x14ac:dyDescent="0.25">
      <c r="A40">
        <v>353833666</v>
      </c>
      <c r="B40" s="5" t="s">
        <v>135</v>
      </c>
      <c r="C40" t="str">
        <f t="shared" si="3"/>
        <v>TH31</v>
      </c>
      <c r="D40" s="5" t="str">
        <f t="shared" si="1"/>
        <v>08</v>
      </c>
      <c r="E40" s="5" t="str">
        <f t="shared" si="0"/>
        <v>TH31-08</v>
      </c>
      <c r="F40" t="s">
        <v>136</v>
      </c>
      <c r="G40" s="3" t="s">
        <v>137</v>
      </c>
    </row>
    <row r="41" spans="1:8" x14ac:dyDescent="0.25">
      <c r="A41">
        <v>353833542</v>
      </c>
      <c r="B41" s="5" t="s">
        <v>138</v>
      </c>
      <c r="C41" t="str">
        <f t="shared" si="3"/>
        <v>TH31</v>
      </c>
      <c r="D41" s="5" t="str">
        <f t="shared" si="1"/>
        <v>07</v>
      </c>
      <c r="E41" s="5" t="str">
        <f t="shared" si="0"/>
        <v>TH31-07</v>
      </c>
      <c r="F41" t="s">
        <v>139</v>
      </c>
      <c r="G41" s="3" t="s">
        <v>140</v>
      </c>
    </row>
    <row r="42" spans="1:8" x14ac:dyDescent="0.25">
      <c r="A42">
        <v>353833418</v>
      </c>
      <c r="B42" s="5" t="s">
        <v>141</v>
      </c>
      <c r="C42" t="str">
        <f t="shared" si="3"/>
        <v>TH31</v>
      </c>
      <c r="D42" s="5" t="str">
        <f t="shared" si="1"/>
        <v>06</v>
      </c>
      <c r="E42" s="5" t="str">
        <f t="shared" si="0"/>
        <v>TH31-06</v>
      </c>
      <c r="F42" t="s">
        <v>142</v>
      </c>
      <c r="G42" s="3" t="s">
        <v>143</v>
      </c>
    </row>
    <row r="43" spans="1:8" x14ac:dyDescent="0.25">
      <c r="A43">
        <v>353833046</v>
      </c>
      <c r="B43" s="5" t="s">
        <v>144</v>
      </c>
      <c r="C43" t="str">
        <f t="shared" si="3"/>
        <v>TH31</v>
      </c>
      <c r="D43" s="5" t="str">
        <f t="shared" si="1"/>
        <v>03</v>
      </c>
      <c r="E43" s="5" t="str">
        <f t="shared" si="0"/>
        <v>TH31-03</v>
      </c>
      <c r="F43" t="s">
        <v>145</v>
      </c>
      <c r="G43" s="3" t="s">
        <v>146</v>
      </c>
    </row>
    <row r="44" spans="1:8" x14ac:dyDescent="0.25">
      <c r="A44">
        <v>353832674</v>
      </c>
      <c r="B44" s="5" t="s">
        <v>147</v>
      </c>
      <c r="C44" t="str">
        <f t="shared" si="3"/>
        <v>TH30</v>
      </c>
      <c r="D44" s="5" t="str">
        <f t="shared" si="1"/>
        <v xml:space="preserve"> 16</v>
      </c>
      <c r="E44" s="5" t="str">
        <f t="shared" si="0"/>
        <v>TH30- 16</v>
      </c>
      <c r="F44" t="s">
        <v>148</v>
      </c>
      <c r="G44" s="3" t="s">
        <v>149</v>
      </c>
    </row>
    <row r="45" spans="1:8" x14ac:dyDescent="0.25">
      <c r="A45">
        <v>353832426</v>
      </c>
      <c r="B45" s="5" t="s">
        <v>150</v>
      </c>
      <c r="C45" t="str">
        <f t="shared" si="3"/>
        <v>TH30</v>
      </c>
      <c r="D45" s="5" t="str">
        <f t="shared" si="1"/>
        <v xml:space="preserve"> 14</v>
      </c>
      <c r="E45" s="5" t="str">
        <f t="shared" si="0"/>
        <v>TH30- 14</v>
      </c>
      <c r="F45" t="s">
        <v>151</v>
      </c>
      <c r="G45" s="3" t="s">
        <v>152</v>
      </c>
    </row>
    <row r="46" spans="1:8" x14ac:dyDescent="0.25">
      <c r="A46">
        <v>353832178</v>
      </c>
      <c r="B46" s="5" t="s">
        <v>153</v>
      </c>
      <c r="C46" t="str">
        <f t="shared" si="3"/>
        <v>TH30</v>
      </c>
      <c r="D46" s="5" t="str">
        <f t="shared" si="1"/>
        <v xml:space="preserve"> 12</v>
      </c>
      <c r="E46" s="5" t="str">
        <f t="shared" si="0"/>
        <v>TH30- 12</v>
      </c>
      <c r="F46" t="s">
        <v>154</v>
      </c>
      <c r="G46" s="3" t="s">
        <v>155</v>
      </c>
    </row>
    <row r="47" spans="1:8" x14ac:dyDescent="0.25">
      <c r="A47">
        <v>353832054</v>
      </c>
      <c r="B47" s="5" t="s">
        <v>156</v>
      </c>
      <c r="C47" t="str">
        <f t="shared" si="3"/>
        <v>TH30</v>
      </c>
      <c r="D47" s="5" t="str">
        <f t="shared" si="1"/>
        <v xml:space="preserve"> 11</v>
      </c>
      <c r="E47" s="5" t="str">
        <f t="shared" si="0"/>
        <v>TH30- 11</v>
      </c>
      <c r="F47" t="s">
        <v>157</v>
      </c>
      <c r="G47" s="3" t="s">
        <v>158</v>
      </c>
    </row>
    <row r="48" spans="1:8" x14ac:dyDescent="0.25">
      <c r="A48">
        <v>353831930</v>
      </c>
      <c r="B48" s="5" t="s">
        <v>159</v>
      </c>
      <c r="C48" t="str">
        <f t="shared" si="3"/>
        <v>TH30</v>
      </c>
      <c r="D48" s="5" t="str">
        <f t="shared" si="1"/>
        <v xml:space="preserve"> 10</v>
      </c>
      <c r="E48" s="5" t="str">
        <f t="shared" si="0"/>
        <v>TH30- 10</v>
      </c>
      <c r="F48" t="s">
        <v>160</v>
      </c>
      <c r="G48" s="3" t="s">
        <v>161</v>
      </c>
    </row>
    <row r="49" spans="1:7" x14ac:dyDescent="0.25">
      <c r="A49">
        <v>353831806</v>
      </c>
      <c r="B49" s="5" t="s">
        <v>162</v>
      </c>
      <c r="C49" t="str">
        <f t="shared" si="3"/>
        <v>TH30</v>
      </c>
      <c r="D49" s="5" t="str">
        <f t="shared" si="1"/>
        <v xml:space="preserve"> 09</v>
      </c>
      <c r="E49" s="5" t="str">
        <f t="shared" si="0"/>
        <v>TH30- 09</v>
      </c>
      <c r="F49" t="s">
        <v>163</v>
      </c>
      <c r="G49" s="3" t="s">
        <v>164</v>
      </c>
    </row>
    <row r="50" spans="1:7" x14ac:dyDescent="0.25">
      <c r="A50">
        <v>353831682</v>
      </c>
      <c r="B50" s="5" t="s">
        <v>165</v>
      </c>
      <c r="C50" t="str">
        <f t="shared" si="3"/>
        <v>TH30</v>
      </c>
      <c r="D50" s="5" t="str">
        <f t="shared" si="1"/>
        <v xml:space="preserve"> 08</v>
      </c>
      <c r="E50" s="5" t="str">
        <f t="shared" si="0"/>
        <v>TH30- 08</v>
      </c>
      <c r="F50" t="s">
        <v>166</v>
      </c>
      <c r="G50" s="3" t="s">
        <v>167</v>
      </c>
    </row>
    <row r="51" spans="1:7" x14ac:dyDescent="0.25">
      <c r="A51">
        <v>353831310</v>
      </c>
      <c r="B51" s="5" t="s">
        <v>168</v>
      </c>
      <c r="C51" t="str">
        <f>IF(1=COUNTIF(B51,"MAG English*"),"TH14",IF(1=COUNTIF(B51,"MAG Arabic 14*"),"TH15",IF(1=COUNTIF(B51,"MAG Bengali 2*"),"TH30",IF(1=COUNTIF(B51,"MAG Bengali 1*"),"TH29",IF(1=COUNTIF(B51,"MAG Arabic 16*"),"TH12",IF(1=COUNTIF(B51,"MAG Portuguese 02*"),"TH36",IF(1=COUNTIF(B51,"MAG Indonesian 02*"),"TH34",IF(1=COUNTIF(B51,"MAG French 1*"),"TH31",""))))))))</f>
        <v>TH30</v>
      </c>
      <c r="D51" s="5" t="str">
        <f t="shared" si="1"/>
        <v xml:space="preserve"> 05</v>
      </c>
      <c r="E51" s="5" t="str">
        <f t="shared" si="0"/>
        <v>TH30- 05</v>
      </c>
      <c r="F51" t="s">
        <v>169</v>
      </c>
      <c r="G51" s="3" t="s">
        <v>170</v>
      </c>
    </row>
    <row r="52" spans="1:7" x14ac:dyDescent="0.25">
      <c r="A52">
        <v>353830566</v>
      </c>
      <c r="B52" s="5" t="s">
        <v>171</v>
      </c>
      <c r="C52" t="str">
        <f>IF(1=COUNTIF(B52,"MAG English*"),"TH14",IF(1=COUNTIF(B52,"MAG Arabic 14*"),"TH15",IF(1=COUNTIF(B52,"MAG Bengali 2*"),"TH30",IF(1=COUNTIF(B52,"MAG Bengali 1*"),"TH29",IF(1=COUNTIF(B52,"MAG Arabic 16*"),"TH12",IF(1=COUNTIF(B52,"MAG Portuguese 02*"),"TH36",IF(1=COUNTIF(B52,"MAG Indonesian 02*"),"TH34",IF(1=COUNTIF(B52,"MAG French 1*"),"TH31",""))))))))</f>
        <v>TH29</v>
      </c>
      <c r="D52" s="5" t="str">
        <f t="shared" si="1"/>
        <v xml:space="preserve"> 07</v>
      </c>
      <c r="E52" s="5" t="str">
        <f t="shared" si="0"/>
        <v>TH29- 07</v>
      </c>
      <c r="F52" t="s">
        <v>172</v>
      </c>
      <c r="G52" s="3" t="s">
        <v>173</v>
      </c>
    </row>
    <row r="53" spans="1:7" x14ac:dyDescent="0.25">
      <c r="A53">
        <v>353830318</v>
      </c>
      <c r="B53" s="5" t="s">
        <v>174</v>
      </c>
      <c r="C53" t="str">
        <f>IF(1=COUNTIF(B53,"MAG English*"),"TH14",IF(1=COUNTIF(B53,"MAG Arabic 14*"),"TH15",IF(1=COUNTIF(B53,"MAG Bengali 2*"),"TH30",IF(1=COUNTIF(B53,"MAG Bengali 1*"),"TH29",IF(1=COUNTIF(B53,"MAG Arabic 16*"),"TH12",IF(1=COUNTIF(B53,"MAG Portuguese 02*"),"TH36",IF(1=COUNTIF(B53,"MAG Indonesian 02*"),"TH34",IF(1=COUNTIF(B53,"MAG French 1*"),"TH31",""))))))))</f>
        <v>TH29</v>
      </c>
      <c r="D53" s="5" t="str">
        <f t="shared" si="1"/>
        <v xml:space="preserve"> 05</v>
      </c>
      <c r="E53" s="5" t="str">
        <f t="shared" si="0"/>
        <v>TH29- 05</v>
      </c>
      <c r="F53" t="s">
        <v>175</v>
      </c>
      <c r="G53" s="3" t="s">
        <v>176</v>
      </c>
    </row>
    <row r="54" spans="1:7" x14ac:dyDescent="0.25">
      <c r="A54">
        <v>353830194</v>
      </c>
      <c r="B54" s="5" t="s">
        <v>177</v>
      </c>
      <c r="C54" t="str">
        <f>IF(1=COUNTIF(B54,"MAG English*"),"TH14",IF(1=COUNTIF(B54,"MAG Arabic 14*"),"TH15",IF(1=COUNTIF(B54,"MAG Bengali 2*"),"TH30",IF(1=COUNTIF(B54,"MAG Bengali 1*"),"TH29",IF(1=COUNTIF(B54,"MAG Arabic 16*"),"TH12",IF(1=COUNTIF(B54,"MAG Portuguese 02*"),"TH36",IF(1=COUNTIF(B54,"MAG Indonesian 02*"),"TH34",IF(1=COUNTIF(B54,"MAG French 1*"),"TH31",""))))))))</f>
        <v>TH29</v>
      </c>
      <c r="D54" s="5" t="str">
        <f t="shared" si="1"/>
        <v xml:space="preserve"> 04</v>
      </c>
      <c r="E54" s="5" t="str">
        <f t="shared" si="0"/>
        <v>TH29- 04</v>
      </c>
      <c r="F54" t="s">
        <v>178</v>
      </c>
      <c r="G54" s="3" t="s">
        <v>179</v>
      </c>
    </row>
    <row r="55" spans="1:7" x14ac:dyDescent="0.25">
      <c r="A55">
        <v>353830070</v>
      </c>
      <c r="B55" s="5" t="s">
        <v>180</v>
      </c>
      <c r="C55" t="str">
        <f>IF(1=COUNTIF(B55,"MAG English*"),"TH14",IF(1=COUNTIF(B55,"MAG Arabic 14*"),"TH15",IF(1=COUNTIF(B55,"MAG Urdu 2*"),"TH28",IF(1=COUNTIF(B55,"MAG Bengali 2*"),"TH30",IF(1=COUNTIF(B55,"MAG Bengali 1*"),"TH29",IF(1=COUNTIF(B55,"MAG Arabic 16*"),"TH12",IF(1=COUNTIF(B55,"MAG Portuguese 02*"),"TH36",IF(1=COUNTIF(B55,"MAG Indonesian 02*"),"TH34",IF(1=COUNTIF(B55,"MAG French 1*"),"TH31","")))))))))</f>
        <v>TH29</v>
      </c>
      <c r="D55" s="5" t="str">
        <f t="shared" si="1"/>
        <v xml:space="preserve"> 03</v>
      </c>
      <c r="E55" s="5" t="str">
        <f t="shared" si="0"/>
        <v>TH29- 03</v>
      </c>
      <c r="F55" t="s">
        <v>181</v>
      </c>
      <c r="G55" s="3" t="s">
        <v>182</v>
      </c>
    </row>
    <row r="56" spans="1:7" x14ac:dyDescent="0.25">
      <c r="A56">
        <v>353829326</v>
      </c>
      <c r="B56" s="5" t="s">
        <v>183</v>
      </c>
      <c r="C56" t="str">
        <f>IF(1=COUNTIF(B56,"MAG English*"),"TH14",IF(1=COUNTIF(B56,"MAG Arabic 14*"),"TH15",IF(1=COUNTIF(B56,"MAG Urdu 2*"),"TH28",IF(1=COUNTIF(B56,"MAG Bengali 2*"),"TH30",IF(1=COUNTIF(B56,"MAG Bengali 1*"),"TH29",IF(1=COUNTIF(B56,"MAG Arabic 16*"),"TH12",IF(1=COUNTIF(B56,"MAG Portuguese 02*"),"TH36",IF(1=COUNTIF(B56,"MAG Indonesian 02*"),"TH34",IF(1=COUNTIF(B56,"MAG French 1*"),"TH31","")))))))))</f>
        <v>TH28</v>
      </c>
      <c r="D56" s="5" t="str">
        <f t="shared" ref="D56:D61" si="4">RIGHT(B56,FIND("-",B56)-9)</f>
        <v xml:space="preserve"> 05</v>
      </c>
      <c r="E56" s="5" t="str">
        <f t="shared" si="0"/>
        <v>TH28- 05</v>
      </c>
      <c r="F56" t="s">
        <v>184</v>
      </c>
      <c r="G56" s="3" t="s">
        <v>185</v>
      </c>
    </row>
    <row r="57" spans="1:7" x14ac:dyDescent="0.25">
      <c r="A57">
        <v>353829202</v>
      </c>
      <c r="B57" s="5" t="s">
        <v>186</v>
      </c>
      <c r="C57" t="str">
        <f>IF(1=COUNTIF(B57,"MAG English*"),"TH14",IF(1=COUNTIF(B57,"MAG Arabic 14*"),"TH15",IF(1=COUNTIF(B57,"MAG Urdu 2*"),"TH28",IF(1=COUNTIF(B57,"MAG Bengali 2*"),"TH30",IF(1=COUNTIF(B57,"MAG Bengali 1*"),"TH29",IF(1=COUNTIF(B57,"MAG Arabic 16*"),"TH12",IF(1=COUNTIF(B57,"MAG Portuguese 02*"),"TH36",IF(1=COUNTIF(B57,"MAG Indonesian 02*"),"TH34",IF(1=COUNTIF(B57,"MAG French 1*"),"TH31","")))))))))</f>
        <v>TH28</v>
      </c>
      <c r="D57" s="5" t="str">
        <f t="shared" si="4"/>
        <v xml:space="preserve"> 04</v>
      </c>
      <c r="E57" s="5" t="str">
        <f t="shared" si="0"/>
        <v>TH28- 04</v>
      </c>
      <c r="F57" t="s">
        <v>187</v>
      </c>
      <c r="G57" s="3" t="s">
        <v>188</v>
      </c>
    </row>
    <row r="58" spans="1:7" x14ac:dyDescent="0.25">
      <c r="A58">
        <v>353829078</v>
      </c>
      <c r="B58" s="5" t="s">
        <v>189</v>
      </c>
      <c r="C58" t="str">
        <f>IF(1=COUNTIF(B58,"MAG English*"),"TH14",IF(1=COUNTIF(B58,"MAG Arabic 14*"),"TH15",IF(1=COUNTIF(B58,"MAG Urdu 2*"),"TH28",IF(1=COUNTIF(B58,"MAG Bengali 2*"),"TH30",IF(1=COUNTIF(B58,"MAG Bengali 1*"),"TH29",IF(1=COUNTIF(B58,"MAG Arabic 16*"),"TH12",IF(1=COUNTIF(B58,"MAG Portuguese 02*"),"TH36",IF(1=COUNTIF(B58,"MAG Indonesian 02*"),"TH34",IF(1=COUNTIF(B58,"MAG French 1*"),"TH31","")))))))))</f>
        <v>TH28</v>
      </c>
      <c r="D58" s="5" t="str">
        <f t="shared" si="4"/>
        <v xml:space="preserve"> 03</v>
      </c>
      <c r="E58" s="5" t="str">
        <f t="shared" si="0"/>
        <v>TH28- 03</v>
      </c>
      <c r="F58" t="s">
        <v>190</v>
      </c>
      <c r="G58" s="3" t="s">
        <v>191</v>
      </c>
    </row>
    <row r="59" spans="1:7" x14ac:dyDescent="0.25">
      <c r="A59">
        <v>353828954</v>
      </c>
      <c r="B59" s="5" t="s">
        <v>192</v>
      </c>
      <c r="C59" t="str">
        <f>IF(1=COUNTIF(B59,"MAG English*"),"TH14",IF(1=COUNTIF(B59,"MAG Urdu 1*"),"TH27",IF(1=COUNTIF(B59,"MAG Arabic 14*"),"TH15",IF(1=COUNTIF(B59,"MAG Urdu 2*"),"TH28",IF(1=COUNTIF(B59,"MAG Bengali 2*"),"TH30",IF(1=COUNTIF(B59,"MAG Bengali 1*"),"TH29",IF(1=COUNTIF(B59,"MAG Arabic 16*"),"TH12",IF(1=COUNTIF(B59,"MAG Portuguese 02*"),"TH36",IF(1=COUNTIF(B59,"MAG Indonesian 02*"),"TH34",IF(1=COUNTIF(B59,"MAG French 1*"),"TH31",""))))))))))</f>
        <v>TH28</v>
      </c>
      <c r="D59" s="5" t="str">
        <f t="shared" si="4"/>
        <v xml:space="preserve"> 02</v>
      </c>
      <c r="E59" s="5" t="str">
        <f t="shared" si="0"/>
        <v>TH28- 02</v>
      </c>
      <c r="F59" t="s">
        <v>193</v>
      </c>
      <c r="G59" s="3" t="s">
        <v>194</v>
      </c>
    </row>
    <row r="60" spans="1:7" x14ac:dyDescent="0.25">
      <c r="A60">
        <v>353828582</v>
      </c>
      <c r="B60" s="5" t="s">
        <v>195</v>
      </c>
      <c r="C60" t="str">
        <f t="shared" ref="C60:C70" si="5">IF(1=COUNTIF(B60,"MAG English*"),"TH14",IF(1=COUNTIF(B60,"MAG Urdu 1*"),"TH27",IF(1=COUNTIF(B60,"MAG Arabic 14*"),"TH15",IF(1=COUNTIF(B60,"MAG Urdu 2*"),"TH28",IF(1=COUNTIF(B60,"MAG Bengali 2*"),"TH30",IF(1=COUNTIF(B60,"MAG Bengali 1*"),"TH29",IF(1=COUNTIF(B60,"MAG Arabic 16*"),"TH12",IF(1=COUNTIF(B60,"MAG Portuguese 02*"),"TH36",IF(1=COUNTIF(B60,"MAG Indonesian 02*"),"TH34",IF(1=COUNTIF(B60,"MAG French 1*"),"TH31",""))))))))))</f>
        <v>TH27</v>
      </c>
      <c r="D60" s="5" t="str">
        <f t="shared" si="4"/>
        <v xml:space="preserve"> 07</v>
      </c>
      <c r="E60" s="5" t="str">
        <f t="shared" si="0"/>
        <v>TH27- 07</v>
      </c>
      <c r="F60" t="s">
        <v>196</v>
      </c>
      <c r="G60" s="3" t="s">
        <v>197</v>
      </c>
    </row>
    <row r="61" spans="1:7" x14ac:dyDescent="0.25">
      <c r="A61">
        <v>353828458</v>
      </c>
      <c r="B61" s="5" t="s">
        <v>198</v>
      </c>
      <c r="C61" t="str">
        <f t="shared" si="5"/>
        <v>TH27</v>
      </c>
      <c r="D61" s="5" t="str">
        <f t="shared" si="4"/>
        <v xml:space="preserve"> 06</v>
      </c>
      <c r="E61" s="5" t="str">
        <f t="shared" si="0"/>
        <v>TH27- 06</v>
      </c>
      <c r="F61" t="s">
        <v>199</v>
      </c>
      <c r="G61" s="3" t="s">
        <v>200</v>
      </c>
    </row>
    <row r="62" spans="1:7" x14ac:dyDescent="0.25">
      <c r="A62">
        <v>353818786</v>
      </c>
      <c r="B62" s="5" t="s">
        <v>201</v>
      </c>
      <c r="C62" t="str">
        <f t="shared" si="5"/>
        <v>TH15</v>
      </c>
      <c r="D62" s="5" t="str">
        <f>RIGHT(B62,FIND("-",B62)-12)</f>
        <v xml:space="preserve"> 18</v>
      </c>
      <c r="E62" s="5" t="str">
        <f t="shared" si="0"/>
        <v>TH15- 18</v>
      </c>
      <c r="F62" t="s">
        <v>202</v>
      </c>
      <c r="G62" s="3" t="s">
        <v>203</v>
      </c>
    </row>
    <row r="63" spans="1:7" x14ac:dyDescent="0.25">
      <c r="A63">
        <v>353812452</v>
      </c>
      <c r="B63" s="5" t="s">
        <v>204</v>
      </c>
      <c r="C63" t="str">
        <f t="shared" si="5"/>
        <v>TH12</v>
      </c>
      <c r="D63" s="5" t="str">
        <f t="shared" ref="D63:D80" si="6">RIGHT(B63,FIND("-",B63)-12)</f>
        <v xml:space="preserve"> 18</v>
      </c>
      <c r="E63" s="5" t="str">
        <f t="shared" si="0"/>
        <v>TH12- 18</v>
      </c>
      <c r="F63" t="s">
        <v>205</v>
      </c>
      <c r="G63" s="3" t="s">
        <v>206</v>
      </c>
    </row>
    <row r="64" spans="1:7" x14ac:dyDescent="0.25">
      <c r="A64">
        <v>353812328</v>
      </c>
      <c r="B64" s="5" t="s">
        <v>207</v>
      </c>
      <c r="C64" t="str">
        <f t="shared" si="5"/>
        <v>TH12</v>
      </c>
      <c r="D64" s="5" t="str">
        <f t="shared" si="6"/>
        <v xml:space="preserve"> 17</v>
      </c>
      <c r="E64" s="5" t="str">
        <f t="shared" si="0"/>
        <v>TH12- 17</v>
      </c>
      <c r="F64" t="s">
        <v>208</v>
      </c>
      <c r="G64" s="3" t="s">
        <v>209</v>
      </c>
    </row>
    <row r="65" spans="1:7" x14ac:dyDescent="0.25">
      <c r="A65">
        <v>353811956</v>
      </c>
      <c r="B65" s="5" t="s">
        <v>210</v>
      </c>
      <c r="C65" t="str">
        <f t="shared" si="5"/>
        <v>TH12</v>
      </c>
      <c r="D65" s="5" t="str">
        <f t="shared" si="6"/>
        <v xml:space="preserve"> 14</v>
      </c>
      <c r="E65" s="5" t="str">
        <f t="shared" si="0"/>
        <v>TH12- 14</v>
      </c>
      <c r="F65" t="s">
        <v>211</v>
      </c>
      <c r="G65" s="3" t="s">
        <v>212</v>
      </c>
    </row>
    <row r="66" spans="1:7" x14ac:dyDescent="0.25">
      <c r="A66">
        <v>353811708</v>
      </c>
      <c r="B66" s="5" t="s">
        <v>213</v>
      </c>
      <c r="C66" t="str">
        <f t="shared" si="5"/>
        <v>TH12</v>
      </c>
      <c r="D66" s="5" t="str">
        <f t="shared" si="6"/>
        <v xml:space="preserve"> 12</v>
      </c>
      <c r="E66" s="5" t="str">
        <f t="shared" si="0"/>
        <v>TH12- 12</v>
      </c>
      <c r="F66" t="s">
        <v>214</v>
      </c>
      <c r="G66" s="3" t="s">
        <v>215</v>
      </c>
    </row>
    <row r="67" spans="1:7" x14ac:dyDescent="0.25">
      <c r="A67">
        <v>353811584</v>
      </c>
      <c r="B67" s="5" t="s">
        <v>216</v>
      </c>
      <c r="C67" t="str">
        <f t="shared" si="5"/>
        <v>TH12</v>
      </c>
      <c r="D67" s="5" t="str">
        <f t="shared" si="6"/>
        <v xml:space="preserve"> 11</v>
      </c>
      <c r="E67" s="5" t="str">
        <f t="shared" si="0"/>
        <v>TH12- 11</v>
      </c>
      <c r="F67" t="s">
        <v>217</v>
      </c>
      <c r="G67" s="3" t="s">
        <v>218</v>
      </c>
    </row>
    <row r="68" spans="1:7" x14ac:dyDescent="0.25">
      <c r="A68">
        <v>353811088</v>
      </c>
      <c r="B68" s="5" t="s">
        <v>219</v>
      </c>
      <c r="C68" t="str">
        <f>IF(1=COUNTIF(B68,"MAG English*"),"TH14",IF(1=COUNTIF(B68,"MAG Urdu 1*"),"TH27",IF(1=COUNTIF(B68,"MAG Arabic 13*"),"TH09",IF(1=COUNTIF(B68,"MAG Arabic 14*"),"TH15",IF(1=COUNTIF(B68,"MAG Urdu 2*"),"TH28",IF(1=COUNTIF(B68,"MAG Bengali 2*"),"TH30",IF(1=COUNTIF(B68,"MAG Bengali 1*"),"TH29",IF(1=COUNTIF(B68,"MAG Arabic 16*"),"TH12",IF(1=COUNTIF(B68,"MAG Portuguese 02*"),"TH36",IF(1=COUNTIF(B68,"MAG Indonesian 02*"),"TH34",IF(1=COUNTIF(B68,"MAG French 1*"),"TH31","")))))))))))</f>
        <v>TH12</v>
      </c>
      <c r="D68" s="5" t="str">
        <f t="shared" si="6"/>
        <v xml:space="preserve"> 07</v>
      </c>
      <c r="E68" s="5" t="str">
        <f t="shared" si="0"/>
        <v>TH12- 07</v>
      </c>
      <c r="F68" t="s">
        <v>220</v>
      </c>
      <c r="G68" s="3" t="s">
        <v>221</v>
      </c>
    </row>
    <row r="69" spans="1:7" x14ac:dyDescent="0.25">
      <c r="A69">
        <v>353810964</v>
      </c>
      <c r="B69" s="5" t="s">
        <v>222</v>
      </c>
      <c r="C69" t="str">
        <f t="shared" si="5"/>
        <v>TH12</v>
      </c>
      <c r="D69" s="5" t="str">
        <f t="shared" si="6"/>
        <v xml:space="preserve"> 06</v>
      </c>
      <c r="E69" s="5" t="str">
        <f t="shared" ref="E69:E132" si="7">CONCATENATE(C69,"-",D69)</f>
        <v>TH12- 06</v>
      </c>
      <c r="F69" t="s">
        <v>223</v>
      </c>
      <c r="G69" s="3" t="s">
        <v>224</v>
      </c>
    </row>
    <row r="70" spans="1:7" x14ac:dyDescent="0.25">
      <c r="A70">
        <v>353810344</v>
      </c>
      <c r="B70" s="5" t="s">
        <v>225</v>
      </c>
      <c r="C70" t="str">
        <f t="shared" si="5"/>
        <v>TH12</v>
      </c>
      <c r="D70" s="5" t="str">
        <f t="shared" si="6"/>
        <v xml:space="preserve"> 01</v>
      </c>
      <c r="E70" s="5" t="str">
        <f t="shared" si="7"/>
        <v>TH12- 01</v>
      </c>
      <c r="F70" t="s">
        <v>226</v>
      </c>
      <c r="G70" s="3" t="s">
        <v>227</v>
      </c>
    </row>
    <row r="71" spans="1:7" x14ac:dyDescent="0.25">
      <c r="A71">
        <v>353809972</v>
      </c>
      <c r="B71" s="5" t="s">
        <v>228</v>
      </c>
      <c r="C71" t="str">
        <f t="shared" ref="C71:C78" si="8">IF(1=COUNTIF(B71,"MAG English*"),"TH14",IF(1=COUNTIF(B71,"MAG Arabic 17*"),"TH11",IF(1=COUNTIF(B71,"MAG Urdu 1*"),"TH27",IF(1=COUNTIF(B71,"MAG Arabic 14*"),"TH15",IF(1=COUNTIF(B71,"MAG Urdu 2*"),"TH28",IF(1=COUNTIF(B71,"MAG Bengali 2*"),"TH30",IF(1=COUNTIF(B71,"MAG Bengali 1*"),"TH29",IF(1=COUNTIF(B71,"MAG Arabic 16*"),"TH12",IF(1=COUNTIF(B71,"MAG Portuguese 02*"),"TH36",IF(1=COUNTIF(B71,"MAG Indonesian 02*"),"TH34",IF(1=COUNTIF(B71,"MAG French 1*"),"TH31","")))))))))))</f>
        <v>TH11</v>
      </c>
      <c r="D71" s="5" t="str">
        <f t="shared" si="6"/>
        <v xml:space="preserve"> 17</v>
      </c>
      <c r="E71" s="5" t="str">
        <f t="shared" si="7"/>
        <v>TH11- 17</v>
      </c>
      <c r="F71" t="s">
        <v>229</v>
      </c>
      <c r="G71" s="3" t="s">
        <v>230</v>
      </c>
    </row>
    <row r="72" spans="1:7" x14ac:dyDescent="0.25">
      <c r="A72">
        <v>353809724</v>
      </c>
      <c r="B72" s="5" t="s">
        <v>231</v>
      </c>
      <c r="C72" t="str">
        <f t="shared" si="8"/>
        <v>TH11</v>
      </c>
      <c r="D72" s="5" t="str">
        <f t="shared" si="6"/>
        <v xml:space="preserve"> 15</v>
      </c>
      <c r="E72" s="5" t="str">
        <f t="shared" si="7"/>
        <v>TH11- 15</v>
      </c>
      <c r="F72" t="s">
        <v>232</v>
      </c>
      <c r="G72" s="3" t="s">
        <v>233</v>
      </c>
    </row>
    <row r="73" spans="1:7" x14ac:dyDescent="0.25">
      <c r="A73">
        <v>353809590</v>
      </c>
      <c r="B73" s="5" t="s">
        <v>234</v>
      </c>
      <c r="C73" t="str">
        <f t="shared" si="8"/>
        <v>TH11</v>
      </c>
      <c r="D73" s="5" t="str">
        <f t="shared" si="6"/>
        <v xml:space="preserve"> 14</v>
      </c>
      <c r="E73" s="5" t="str">
        <f t="shared" si="7"/>
        <v>TH11- 14</v>
      </c>
      <c r="F73" t="s">
        <v>235</v>
      </c>
      <c r="G73" s="3" t="s">
        <v>236</v>
      </c>
    </row>
    <row r="74" spans="1:7" x14ac:dyDescent="0.25">
      <c r="A74">
        <v>353808970</v>
      </c>
      <c r="B74" s="5" t="s">
        <v>237</v>
      </c>
      <c r="C74" t="str">
        <f t="shared" si="8"/>
        <v>TH11</v>
      </c>
      <c r="D74" s="5" t="str">
        <f t="shared" si="6"/>
        <v xml:space="preserve"> 09</v>
      </c>
      <c r="E74" s="5" t="str">
        <f t="shared" si="7"/>
        <v>TH11- 09</v>
      </c>
      <c r="F74" t="s">
        <v>238</v>
      </c>
      <c r="G74" s="3" t="s">
        <v>239</v>
      </c>
    </row>
    <row r="75" spans="1:7" x14ac:dyDescent="0.25">
      <c r="A75">
        <v>353809342</v>
      </c>
      <c r="B75" s="5" t="s">
        <v>240</v>
      </c>
      <c r="C75" t="str">
        <f t="shared" si="8"/>
        <v>TH11</v>
      </c>
      <c r="D75" s="5" t="str">
        <f t="shared" si="6"/>
        <v xml:space="preserve"> 12</v>
      </c>
      <c r="E75" s="5" t="str">
        <f t="shared" si="7"/>
        <v>TH11- 12</v>
      </c>
      <c r="F75" t="s">
        <v>241</v>
      </c>
      <c r="G75" s="3" t="s">
        <v>242</v>
      </c>
    </row>
    <row r="76" spans="1:7" x14ac:dyDescent="0.25">
      <c r="A76">
        <v>353808846</v>
      </c>
      <c r="B76" s="5" t="s">
        <v>243</v>
      </c>
      <c r="C76" t="str">
        <f t="shared" si="8"/>
        <v>TH11</v>
      </c>
      <c r="D76" s="5" t="str">
        <f t="shared" si="6"/>
        <v xml:space="preserve"> 08</v>
      </c>
      <c r="E76" s="5" t="str">
        <f t="shared" si="7"/>
        <v>TH11- 08</v>
      </c>
      <c r="F76" t="s">
        <v>244</v>
      </c>
      <c r="G76" s="3" t="s">
        <v>245</v>
      </c>
    </row>
    <row r="77" spans="1:7" x14ac:dyDescent="0.25">
      <c r="A77">
        <v>353808722</v>
      </c>
      <c r="B77" s="5" t="s">
        <v>246</v>
      </c>
      <c r="C77" t="str">
        <f t="shared" si="8"/>
        <v>TH11</v>
      </c>
      <c r="D77" s="5" t="str">
        <f t="shared" si="6"/>
        <v xml:space="preserve"> 07</v>
      </c>
      <c r="E77" s="5" t="str">
        <f t="shared" si="7"/>
        <v>TH11- 07</v>
      </c>
      <c r="F77" t="s">
        <v>247</v>
      </c>
      <c r="G77" s="3" t="s">
        <v>248</v>
      </c>
    </row>
    <row r="78" spans="1:7" x14ac:dyDescent="0.25">
      <c r="A78">
        <v>353808102</v>
      </c>
      <c r="B78" s="5" t="s">
        <v>249</v>
      </c>
      <c r="C78" t="str">
        <f t="shared" si="8"/>
        <v>TH11</v>
      </c>
      <c r="D78" s="5" t="str">
        <f t="shared" si="6"/>
        <v xml:space="preserve"> 02</v>
      </c>
      <c r="E78" s="5" t="str">
        <f t="shared" si="7"/>
        <v>TH11- 02</v>
      </c>
      <c r="F78" t="s">
        <v>250</v>
      </c>
      <c r="G78" s="3" t="s">
        <v>251</v>
      </c>
    </row>
    <row r="79" spans="1:7" x14ac:dyDescent="0.25">
      <c r="A79">
        <v>353807978</v>
      </c>
      <c r="B79" s="5" t="s">
        <v>252</v>
      </c>
      <c r="C79" t="str">
        <f>IF(1=COUNTIF(B79,"MAG English*"),"TH14",IF(1=COUNTIF(B79,"MAG Arabic 17*"),"TH11",IF(1=COUNTIF(B79,"MAG Arabic 13*"),"TH09",IF(1=COUNTIF(B79,"MAG Urdu 1*"),"TH27",IF(1=COUNTIF(B79,"MAG Arabic 14*"),"TH15",IF(1=COUNTIF(B79,"MAG Urdu 2*"),"TH28",IF(1=COUNTIF(B79,"MAG Bengali 2*"),"TH30",IF(1=COUNTIF(B79,"MAG Bengali 1*"),"TH29",IF(1=COUNTIF(B79,"MAG Arabic 16*"),"TH12",IF(1=COUNTIF(B79,"MAG Portuguese 02*"),"TH36",IF(1=COUNTIF(B79,"MAG Indonesian 02*"),"TH34",IF(1=COUNTIF(B79,"MAG French 1*"),"TH31",""))))))))))))</f>
        <v>TH11</v>
      </c>
      <c r="D79" s="5" t="str">
        <f t="shared" si="6"/>
        <v xml:space="preserve"> 01</v>
      </c>
      <c r="E79" s="5" t="str">
        <f t="shared" si="7"/>
        <v>TH11- 01</v>
      </c>
      <c r="F79" t="s">
        <v>253</v>
      </c>
      <c r="G79" s="3" t="s">
        <v>254</v>
      </c>
    </row>
    <row r="80" spans="1:7" x14ac:dyDescent="0.25">
      <c r="A80">
        <v>353805498</v>
      </c>
      <c r="B80" s="5" t="s">
        <v>255</v>
      </c>
      <c r="C80" t="str">
        <f t="shared" ref="C80:C84" si="9">IF(1=COUNTIF(B80,"MAG English*"),"TH14",IF(1=COUNTIF(B80,"MAG Arabic 17*"),"TH11",IF(1=COUNTIF(B80,"MAG Arabic 13*"),"TH09",IF(1=COUNTIF(B80,"MAG Urdu 1*"),"TH27",IF(1=COUNTIF(B80,"MAG Arabic 14*"),"TH15",IF(1=COUNTIF(B80,"MAG Urdu 2*"),"TH28",IF(1=COUNTIF(B80,"MAG Bengali 2*"),"TH30",IF(1=COUNTIF(B80,"MAG Bengali 1*"),"TH29",IF(1=COUNTIF(B80,"MAG Arabic 16*"),"TH12",IF(1=COUNTIF(B80,"MAG Portuguese 02*"),"TH36",IF(1=COUNTIF(B80,"MAG Indonesian 02*"),"TH34",IF(1=COUNTIF(B80,"MAG French 1*"),"TH31",""))))))))))))</f>
        <v>TH09</v>
      </c>
      <c r="D80" s="5" t="str">
        <f t="shared" si="6"/>
        <v xml:space="preserve"> 13</v>
      </c>
      <c r="E80" s="5" t="str">
        <f t="shared" si="7"/>
        <v>TH09- 13</v>
      </c>
      <c r="F80" t="s">
        <v>256</v>
      </c>
      <c r="G80" s="3" t="s">
        <v>257</v>
      </c>
    </row>
    <row r="81" spans="1:7" x14ac:dyDescent="0.25">
      <c r="A81">
        <v>353828334</v>
      </c>
      <c r="B81" s="5" t="s">
        <v>258</v>
      </c>
      <c r="C81" t="str">
        <f t="shared" si="9"/>
        <v>TH27</v>
      </c>
      <c r="D81" s="5" t="str">
        <f>RIGHT(B81,FIND("-",B81)-10)</f>
        <v>05</v>
      </c>
      <c r="E81" s="5" t="str">
        <f t="shared" si="7"/>
        <v>TH27-05</v>
      </c>
      <c r="F81" t="s">
        <v>259</v>
      </c>
      <c r="G81" s="3" t="s">
        <v>260</v>
      </c>
    </row>
    <row r="82" spans="1:7" x14ac:dyDescent="0.25">
      <c r="A82">
        <v>353828210</v>
      </c>
      <c r="B82" s="5" t="s">
        <v>261</v>
      </c>
      <c r="C82" t="str">
        <f t="shared" si="9"/>
        <v>TH27</v>
      </c>
      <c r="D82" s="5" t="str">
        <f t="shared" ref="D82:D85" si="10">RIGHT(B82,FIND("-",B82)-10)</f>
        <v>04</v>
      </c>
      <c r="E82" s="5" t="str">
        <f t="shared" si="7"/>
        <v>TH27-04</v>
      </c>
      <c r="F82" t="s">
        <v>262</v>
      </c>
      <c r="G82" s="3" t="s">
        <v>263</v>
      </c>
    </row>
    <row r="83" spans="1:7" x14ac:dyDescent="0.25">
      <c r="A83">
        <v>353828086</v>
      </c>
      <c r="B83" s="5" t="s">
        <v>264</v>
      </c>
      <c r="C83" t="str">
        <f t="shared" si="9"/>
        <v>TH27</v>
      </c>
      <c r="D83" s="5" t="str">
        <f t="shared" si="10"/>
        <v>03</v>
      </c>
      <c r="E83" s="5" t="str">
        <f t="shared" si="7"/>
        <v>TH27-03</v>
      </c>
      <c r="F83" t="s">
        <v>265</v>
      </c>
      <c r="G83" s="3" t="s">
        <v>266</v>
      </c>
    </row>
    <row r="84" spans="1:7" x14ac:dyDescent="0.25">
      <c r="A84">
        <v>353827962</v>
      </c>
      <c r="B84" s="5" t="s">
        <v>267</v>
      </c>
      <c r="C84" t="str">
        <f t="shared" si="9"/>
        <v>TH27</v>
      </c>
      <c r="D84" s="5" t="str">
        <f t="shared" si="10"/>
        <v>02</v>
      </c>
      <c r="E84" s="5" t="str">
        <f t="shared" si="7"/>
        <v>TH27-02</v>
      </c>
      <c r="F84" t="s">
        <v>259</v>
      </c>
      <c r="G84" s="3" t="s">
        <v>260</v>
      </c>
    </row>
    <row r="85" spans="1:7" x14ac:dyDescent="0.25">
      <c r="A85">
        <v>353827838</v>
      </c>
      <c r="B85" s="5" t="s">
        <v>268</v>
      </c>
      <c r="C85" t="str">
        <f>IF(1=COUNTIF(B85,"MAG English*"),"TH14",IF(1=COUNTIF(B85,"MAG Arabic 17*"),"TH11",IF(1=COUNTIF(B85,"MAG German 2*"),"TH26",IF(1=COUNTIF(B85,"MAG Arabic 13*"),"TH09",IF(1=COUNTIF(B85,"MAG Urdu 1*"),"TH27",IF(1=COUNTIF(B85,"MAG Arabic 14*"),"TH15",IF(1=COUNTIF(B85,"MAG Urdu 2*"),"TH28",IF(1=COUNTIF(B85,"MAG Bengali 2*"),"TH30",IF(1=COUNTIF(B85,"MAG Bengali 1*"),"TH29",IF(1=COUNTIF(B85,"MAG Arabic 16*"),"TH12",IF(1=COUNTIF(B85,"MAG Portuguese 02*"),"TH36",IF(1=COUNTIF(B85,"MAG Indonesian 02*"),"TH34",IF(1=COUNTIF(B85,"MAG French 1*"),"TH31","")))))))))))))</f>
        <v>TH27</v>
      </c>
      <c r="D85" s="5" t="str">
        <f t="shared" si="10"/>
        <v>01</v>
      </c>
      <c r="E85" s="5" t="str">
        <f t="shared" si="7"/>
        <v>TH27-01</v>
      </c>
      <c r="F85" t="s">
        <v>269</v>
      </c>
      <c r="G85" s="3" t="s">
        <v>270</v>
      </c>
    </row>
    <row r="86" spans="1:7" x14ac:dyDescent="0.25">
      <c r="A86">
        <v>353827590</v>
      </c>
      <c r="B86" s="5" t="s">
        <v>271</v>
      </c>
      <c r="C86" t="str">
        <f>IF(1=COUNTIF(B86,"MAG English*"),"TH14",IF(1=COUNTIF(B86,"MAG Arabic 17*"),"TH11",IF(1=COUNTIF(B86,"MAG German 2*"),"TH26",IF(1=COUNTIF(B86,"MAG Arabic 13*"),"TH09",IF(1=COUNTIF(B86,"MAG Urdu 1*"),"TH27",IF(1=COUNTIF(B86,"MAG Arabic 14*"),"TH15",IF(1=COUNTIF(B86,"MAG Urdu 2*"),"TH28",IF(1=COUNTIF(B86,"MAG Bengali 2*"),"TH30",IF(1=COUNTIF(B86,"MAG Bengali 1*"),"TH29",IF(1=COUNTIF(B86,"MAG Arabic 16*"),"TH12",IF(1=COUNTIF(B86,"MAG Portuguese 02*"),"TH36",IF(1=COUNTIF(B86,"MAG Indonesian 02*"),"TH34",IF(1=COUNTIF(B86,"MAG French 1*"),"TH31","")))))))))))))</f>
        <v>TH26</v>
      </c>
      <c r="D86" s="5" t="str">
        <f t="shared" ref="D86:D91" si="11">RIGHT(B86,FIND("-",B86)-11)</f>
        <v xml:space="preserve"> 07</v>
      </c>
      <c r="E86" s="5" t="str">
        <f t="shared" si="7"/>
        <v>TH26- 07</v>
      </c>
      <c r="F86" t="s">
        <v>272</v>
      </c>
      <c r="G86" s="3" t="s">
        <v>273</v>
      </c>
    </row>
    <row r="87" spans="1:7" x14ac:dyDescent="0.25">
      <c r="A87">
        <v>353827466</v>
      </c>
      <c r="B87" s="5" t="s">
        <v>274</v>
      </c>
      <c r="C87" t="str">
        <f>IF(1=COUNTIF(B87,"MAG English*"),"TH14",IF(1=COUNTIF(B87,"MAG Arabic 17*"),"TH11",IF(1=COUNTIF(B87,"MAG German 2*"),"TH26",IF(1=COUNTIF(B87,"MAG Arabic 13*"),"TH09",IF(1=COUNTIF(B87,"MAG Urdu 1*"),"TH27",IF(1=COUNTIF(B87,"MAG Arabic 14*"),"TH15",IF(1=COUNTIF(B87,"MAG Urdu 2*"),"TH28",IF(1=COUNTIF(B87,"MAG Bengali 2*"),"TH30",IF(1=COUNTIF(B87,"MAG Bengali 1*"),"TH29",IF(1=COUNTIF(B87,"MAG Arabic 16*"),"TH12",IF(1=COUNTIF(B87,"MAG Portuguese 02*"),"TH36",IF(1=COUNTIF(B87,"MAG Indonesian 02*"),"TH34",IF(1=COUNTIF(B87,"MAG French 1*"),"TH31","")))))))))))))</f>
        <v>TH26</v>
      </c>
      <c r="D87" s="5" t="str">
        <f t="shared" si="11"/>
        <v xml:space="preserve"> 06</v>
      </c>
      <c r="E87" s="5" t="str">
        <f t="shared" si="7"/>
        <v>TH26- 06</v>
      </c>
      <c r="F87" t="s">
        <v>275</v>
      </c>
      <c r="G87" s="3" t="s">
        <v>276</v>
      </c>
    </row>
    <row r="88" spans="1:7" x14ac:dyDescent="0.25">
      <c r="A88">
        <v>353827342</v>
      </c>
      <c r="B88" s="5" t="s">
        <v>277</v>
      </c>
      <c r="C88" t="str">
        <f>IF(1=COUNTIF(B88,"MAG English*"),"TH14",IF(1=COUNTIF(B88,"MAG Arabic 17*"),"TH11",IF(1=COUNTIF(B88,"MAG German 2*"),"TH26",IF(1=COUNTIF(B88,"MAG Arabic 13*"),"TH09",IF(1=COUNTIF(B88,"MAG Urdu 1*"),"TH27",IF(1=COUNTIF(B88,"MAG Arabic 14*"),"TH15",IF(1=COUNTIF(B88,"MAG Urdu 2*"),"TH28",IF(1=COUNTIF(B88,"MAG Bengali 2*"),"TH30",IF(1=COUNTIF(B88,"MAG Bengali 1*"),"TH29",IF(1=COUNTIF(B88,"MAG Arabic 16*"),"TH12",IF(1=COUNTIF(B88,"MAG Portuguese 02*"),"TH36",IF(1=COUNTIF(B88,"MAG Indonesian 02*"),"TH34",IF(1=COUNTIF(B88,"MAG French 1*"),"TH31","")))))))))))))</f>
        <v>TH26</v>
      </c>
      <c r="D88" s="5" t="str">
        <f t="shared" si="11"/>
        <v xml:space="preserve"> 05</v>
      </c>
      <c r="E88" s="5" t="str">
        <f t="shared" si="7"/>
        <v>TH26- 05</v>
      </c>
      <c r="F88" t="s">
        <v>278</v>
      </c>
      <c r="G88" s="3" t="s">
        <v>279</v>
      </c>
    </row>
    <row r="89" spans="1:7" x14ac:dyDescent="0.25">
      <c r="A89">
        <v>353827218</v>
      </c>
      <c r="B89" s="5" t="s">
        <v>280</v>
      </c>
      <c r="C89" t="str">
        <f>IF(1=COUNTIF(B89,"MAG English*"),"TH14",IF(1=COUNTIF(B89,"MAG Arabic 17*"),"TH11",IF(1=COUNTIF(B89,"MAG German 2*"),"TH26",IF(1=COUNTIF(B89,"MAG German 1*"),"TH25",IF(1=COUNTIF(B89,"MAG Arabic 13*"),"TH09",IF(1=COUNTIF(B89,"MAG Urdu 1*"),"TH27",IF(1=COUNTIF(B89,"MAG Arabic 14*"),"TH15",IF(1=COUNTIF(B89,"MAG Urdu 2*"),"TH28",IF(1=COUNTIF(B89,"MAG Bengali 2*"),"TH30",IF(1=COUNTIF(B89,"MAG Bengali 1*"),"TH29",IF(1=COUNTIF(B89,"MAG Arabic 16*"),"TH12",IF(1=COUNTIF(B89,"MAG Portuguese 02*"),"TH36",IF(1=COUNTIF(B89,"MAG Indonesian 02*"),"TH34",IF(1=COUNTIF(B89,"MAG French 1*"),"TH31",""))))))))))))))</f>
        <v>TH26</v>
      </c>
      <c r="D89" s="5" t="str">
        <f t="shared" si="11"/>
        <v xml:space="preserve"> 04</v>
      </c>
      <c r="E89" s="5" t="str">
        <f t="shared" si="7"/>
        <v>TH26- 04</v>
      </c>
      <c r="F89" t="s">
        <v>281</v>
      </c>
      <c r="G89" s="3" t="s">
        <v>282</v>
      </c>
    </row>
    <row r="90" spans="1:7" x14ac:dyDescent="0.25">
      <c r="A90">
        <v>353826474</v>
      </c>
      <c r="B90" s="5" t="s">
        <v>283</v>
      </c>
      <c r="C90" t="str">
        <f>IF(1=COUNTIF(B90,"MAG English*"),"TH14",IF(1=COUNTIF(B90,"MAG Arabic 17*"),"TH11",IF(1=COUNTIF(B90,"MAG German 2*"),"TH26",IF(1=COUNTIF(B90,"MAG German 1*"),"TH25",IF(1=COUNTIF(B90,"MAG Arabic 13*"),"TH09",IF(1=COUNTIF(B90,"MAG Urdu 1*"),"TH27",IF(1=COUNTIF(B90,"MAG Arabic 14*"),"TH15",IF(1=COUNTIF(B90,"MAG Urdu 2*"),"TH28",IF(1=COUNTIF(B90,"MAG Bengali 2*"),"TH30",IF(1=COUNTIF(B90,"MAG Bengali 1*"),"TH29",IF(1=COUNTIF(B90,"MAG Arabic 16*"),"TH12",IF(1=COUNTIF(B90,"MAG Portuguese 02*"),"TH36",IF(1=COUNTIF(B90,"MAG Indonesian 02*"),"TH34",IF(1=COUNTIF(B90,"MAG French 1*"),"TH31",""))))))))))))))</f>
        <v>TH25</v>
      </c>
      <c r="D90" s="5" t="str">
        <f t="shared" si="11"/>
        <v xml:space="preserve"> 06</v>
      </c>
      <c r="E90" s="5" t="str">
        <f t="shared" si="7"/>
        <v>TH25- 06</v>
      </c>
      <c r="F90" t="s">
        <v>160</v>
      </c>
      <c r="G90" s="3" t="s">
        <v>161</v>
      </c>
    </row>
    <row r="91" spans="1:7" x14ac:dyDescent="0.25">
      <c r="A91">
        <v>353826350</v>
      </c>
      <c r="B91" s="5" t="s">
        <v>284</v>
      </c>
      <c r="C91" t="str">
        <f>IF(1=COUNTIF(B91,"MAG English*"),"TH14",IF(1=COUNTIF(B91,"MAG Japanese 2*"),"TH24",IF(1=COUNTIF(B91,"MAG Arabic 17*"),"TH11",IF(1=COUNTIF(B91,"MAG German 2*"),"TH26",IF(1=COUNTIF(B91,"MAG German 1*"),"TH25",IF(1=COUNTIF(B91,"MAG Arabic 13*"),"TH09",IF(1=COUNTIF(B91,"MAG Urdu 1*"),"TH27",IF(1=COUNTIF(B91,"MAG Arabic 14*"),"TH15",IF(1=COUNTIF(B91,"MAG Urdu 2*"),"TH28",IF(1=COUNTIF(B91,"MAG Bengali 2*"),"TH30",IF(1=COUNTIF(B91,"MAG Bengali 1*"),"TH29",IF(1=COUNTIF(B91,"MAG Arabic 16*"),"TH12",IF(1=COUNTIF(B91,"MAG Portuguese 02*"),"TH36",IF(1=COUNTIF(B91,"MAG Indonesian 02*"),"TH34",IF(1=COUNTIF(B91,"MAG French 1*"),"TH31","")))))))))))))))</f>
        <v>TH25</v>
      </c>
      <c r="D91" s="5" t="str">
        <f t="shared" si="11"/>
        <v xml:space="preserve"> 05</v>
      </c>
      <c r="E91" s="5" t="str">
        <f t="shared" si="7"/>
        <v>TH25- 05</v>
      </c>
      <c r="F91" t="s">
        <v>285</v>
      </c>
      <c r="G91" s="3" t="s">
        <v>286</v>
      </c>
    </row>
    <row r="92" spans="1:7" x14ac:dyDescent="0.25">
      <c r="A92">
        <v>353825606</v>
      </c>
      <c r="B92" s="5" t="s">
        <v>287</v>
      </c>
      <c r="C92" t="str">
        <f>IF(1=COUNTIF(B92,"MAG English*"),"TH14",IF(1=COUNTIF(B92,"MAG Arabic 7*"),"TH22",IF(1=COUNTIF(B92,"MAG Japanese 2*"),"TH24",IF(1=COUNTIF(B92,"MAG Arabic 17*"),"TH11",IF(1=COUNTIF(B92,"MAG German 2*"),"TH26",IF(1=COUNTIF(B92,"MAG German 1*"),"TH25",IF(1=COUNTIF(B92,"MAG Arabic 13*"),"TH09",IF(1=COUNTIF(B92,"MAG Urdu 1*"),"TH27",IF(1=COUNTIF(B92,"MAG Arabic 14*"),"TH15",IF(1=COUNTIF(B92,"MAG Urdu 2*"),"TH28",IF(1=COUNTIF(B92,"MAG Bengali 2*"),"TH30",IF(1=COUNTIF(B92,"MAG Bengali 1*"),"TH29",IF(1=COUNTIF(B92,"MAG Arabic 16*"),"TH12",IF(1=COUNTIF(B92,"MAG Portuguese 02*"),"TH36",IF(1=COUNTIF(B92,"MAG Indonesian 02*"),"TH34",IF(1=COUNTIF(B92,"MAG French 1*"),"TH31",""))))))))))))))))</f>
        <v>TH24</v>
      </c>
      <c r="D92" s="5" t="str">
        <f>RIGHT(B92,FIND("-",B92)-13)</f>
        <v xml:space="preserve"> 07</v>
      </c>
      <c r="E92" s="5" t="str">
        <f t="shared" si="7"/>
        <v>TH24- 07</v>
      </c>
      <c r="F92" t="s">
        <v>288</v>
      </c>
      <c r="G92" s="3" t="s">
        <v>289</v>
      </c>
    </row>
    <row r="93" spans="1:7" x14ac:dyDescent="0.25">
      <c r="A93">
        <v>353824490</v>
      </c>
      <c r="B93" s="5" t="s">
        <v>290</v>
      </c>
      <c r="C93" t="str">
        <f>IF(1=COUNTIF(B93,"MAG English*"),"TH14",IF(1=COUNTIF(B93,"MAG Arabic 7*"),"TH22",IF(1=COUNTIF(B93,"MAG Spanish 2*"),"TH20",IF(1=COUNTIF(B93,"MAG Japanese 2*"),"TH24",IF(1=COUNTIF(B93,"MAG Arabic 17*"),"TH11",IF(1=COUNTIF(B93,"MAG German 2*"),"TH26",IF(1=COUNTIF(B93,"MAG German 1*"),"TH25",IF(1=COUNTIF(B93,"MAG Arabic 13*"),"TH09",IF(1=COUNTIF(B93,"MAG Urdu 1*"),"TH27",IF(1=COUNTIF(B93,"MAG Arabic 14*"),"TH15",IF(1=COUNTIF(B93,"MAG Urdu 2*"),"TH28",IF(1=COUNTIF(B93,"MAG Bengali 2*"),"TH30",IF(1=COUNTIF(B93,"MAG Bengali 1*"),"TH29",IF(1=COUNTIF(B93,"MAG Arabic 16*"),"TH12",IF(1=COUNTIF(B93,"MAG Portuguese 02*"),"TH36",IF(1=COUNTIF(B93,"MAG Indonesian 02*"),"TH34",IF(1=COUNTIF(B93,"MAG French 1*"),"TH31","")))))))))))))))))</f>
        <v>TH22</v>
      </c>
      <c r="D93" s="5" t="str">
        <f t="shared" ref="D93:D138" si="12">RIGHT(B93,FIND("-",B93)-13)</f>
        <v>7</v>
      </c>
      <c r="E93" s="5" t="str">
        <f t="shared" si="7"/>
        <v>TH22-7</v>
      </c>
      <c r="F93" t="s">
        <v>291</v>
      </c>
      <c r="G93" s="3" t="s">
        <v>292</v>
      </c>
    </row>
    <row r="94" spans="1:7" x14ac:dyDescent="0.25">
      <c r="A94">
        <v>353822506</v>
      </c>
      <c r="B94" s="5" t="s">
        <v>293</v>
      </c>
      <c r="C94" t="str">
        <f>IF(1=COUNTIF(B94,"MAG English*"),"TH14",IF(1=COUNTIF(B94,"MAG Arabic 7*"),"TH22",IF(1=COUNTIF(B94,"MAG Spanish 2*"),"TH20",IF(1=COUNTIF(B94,"MAG Japanese 2*"),"TH24",IF(1=COUNTIF(B94,"MAG Arabic 17*"),"TH11",IF(1=COUNTIF(B94,"MAG German 2*"),"TH26",IF(1=COUNTIF(B94,"MAG German 1*"),"TH25",IF(1=COUNTIF(B94,"MAG Arabic 13*"),"TH09",IF(1=COUNTIF(B94,"MAG Urdu 1*"),"TH27",IF(1=COUNTIF(B94,"MAG Arabic 14*"),"TH15",IF(1=COUNTIF(B94,"MAG Urdu 2*"),"TH28",IF(1=COUNTIF(B94,"MAG Bengali 2*"),"TH30",IF(1=COUNTIF(B94,"MAG Bengali 1*"),"TH29",IF(1=COUNTIF(B94,"MAG Arabic 16*"),"TH12",IF(1=COUNTIF(B94,"MAG Portuguese 02*"),"TH36",IF(1=COUNTIF(B94,"MAG Indonesian 02*"),"TH34",IF(1=COUNTIF(B94,"MAG French 1*"),"TH31","")))))))))))))))))</f>
        <v>TH20</v>
      </c>
      <c r="D94" s="5" t="str">
        <f t="shared" si="12"/>
        <v>01</v>
      </c>
      <c r="E94" s="5" t="str">
        <f t="shared" si="7"/>
        <v>TH20-01</v>
      </c>
      <c r="F94" t="s">
        <v>294</v>
      </c>
      <c r="G94" s="3" t="s">
        <v>295</v>
      </c>
    </row>
    <row r="95" spans="1:7" x14ac:dyDescent="0.25">
      <c r="A95">
        <v>353821142</v>
      </c>
      <c r="B95" s="5" t="s">
        <v>296</v>
      </c>
      <c r="C95" t="str">
        <f>IF(1=COUNTIF(B95,"MAG English 3*"),"TH14",IF(1=COUNTIF(B95,"MAG English 1*"),"TH17",IF(1=COUNTIF(B95,"MAG Arabic 7*"),"TH22",IF(1=COUNTIF(B95,"MAG Spanish 2*"),"TH20",IF(1=COUNTIF(B95,"MAG Japanese 2*"),"TH24",IF(1=COUNTIF(B95,"MAG Arabic 17*"),"TH11",IF(1=COUNTIF(B95,"MAG German 2*"),"TH26",IF(1=COUNTIF(B95,"MAG German 1*"),"TH25",IF(1=COUNTIF(B95,"MAG Arabic 13*"),"TH09",IF(1=COUNTIF(B95,"MAG Urdu 1*"),"TH27",IF(1=COUNTIF(B95,"MAG Arabic 14*"),"TH15",IF(1=COUNTIF(B95,"MAG Urdu 2*"),"TH28",IF(1=COUNTIF(B95,"MAG Bengali 2*"),"TH30",IF(1=COUNTIF(B95,"MAG Bengali 1*"),"TH29",IF(1=COUNTIF(B95,"MAG Arabic 16*"),"TH12",IF(1=COUNTIF(B95,"MAG Portuguese 02*"),"TH36",IF(1=COUNTIF(B95,"MAG Indonesian 02*"),"TH34",IF(1=COUNTIF(B95,"MAG French 1*"),"TH31",""))))))))))))))))))</f>
        <v>TH17</v>
      </c>
      <c r="D95" s="5" t="str">
        <f t="shared" si="12"/>
        <v>05</v>
      </c>
      <c r="E95" s="5" t="str">
        <f t="shared" si="7"/>
        <v>TH17-05</v>
      </c>
      <c r="F95" t="s">
        <v>297</v>
      </c>
      <c r="G95" s="3" t="s">
        <v>298</v>
      </c>
    </row>
    <row r="96" spans="1:7" x14ac:dyDescent="0.25">
      <c r="A96">
        <v>353821018</v>
      </c>
      <c r="B96" s="5" t="s">
        <v>299</v>
      </c>
      <c r="C96" t="str">
        <f>IF(1=COUNTIF(B96,"MAG English 3*"),"TH14",IF(1=COUNTIF(B96,"MAG English 1*"),"TH17",IF(1=COUNTIF(B96,"MAG Arabic 7*"),"TH22",IF(1=COUNTIF(B96,"MAG Spanish 2*"),"TH20",IF(1=COUNTIF(B96,"MAG Japanese 2*"),"TH24",IF(1=COUNTIF(B96,"MAG Arabic 17*"),"TH11",IF(1=COUNTIF(B96,"MAG German 2*"),"TH26",IF(1=COUNTIF(B96,"MAG German 1*"),"TH25",IF(1=COUNTIF(B96,"MAG Arabic 13*"),"TH09",IF(1=COUNTIF(B96,"MAG Urdu 1*"),"TH27",IF(1=COUNTIF(B96,"MAG Arabic 14*"),"TH15",IF(1=COUNTIF(B96,"MAG Urdu 2*"),"TH28",IF(1=COUNTIF(B96,"MAG Bengali 2*"),"TH30",IF(1=COUNTIF(B96,"MAG Bengali 1*"),"TH29",IF(1=COUNTIF(B96,"MAG Arabic 16*"),"TH12",IF(1=COUNTIF(B96,"MAG Portuguese 02*"),"TH36",IF(1=COUNTIF(B96,"MAG Indonesian 02*"),"TH34",IF(1=COUNTIF(B96,"MAG French 1*"),"TH31",""))))))))))))))))))</f>
        <v>TH17</v>
      </c>
      <c r="D96" s="5" t="str">
        <f t="shared" si="12"/>
        <v>04</v>
      </c>
      <c r="E96" s="5" t="str">
        <f t="shared" si="7"/>
        <v>TH17-04</v>
      </c>
      <c r="F96" t="s">
        <v>300</v>
      </c>
      <c r="G96" s="3" t="s">
        <v>301</v>
      </c>
    </row>
    <row r="97" spans="1:7" x14ac:dyDescent="0.25">
      <c r="A97">
        <v>353820398</v>
      </c>
      <c r="B97" s="5" t="s">
        <v>302</v>
      </c>
      <c r="C97" t="str">
        <f t="shared" ref="C97:C106" si="13">IF(1=COUNTIF(B97,"MAG English 3*"),"TH14",IF(1=COUNTIF(B97,"MAG Arabic 12*"),"TH16",IF(1=COUNTIF(B97,"MAG English 1*"),"TH17",IF(1=COUNTIF(B97,"MAG Arabic 7*"),"TH22",IF(1=COUNTIF(B97,"MAG Spanish 2*"),"TH20",IF(1=COUNTIF(B97,"MAG Japanese 2*"),"TH24",IF(1=COUNTIF(B97,"MAG Arabic 17*"),"TH11",IF(1=COUNTIF(B97,"MAG German 2*"),"TH26",IF(1=COUNTIF(B97,"MAG German 1*"),"TH25",IF(1=COUNTIF(B97,"MAG Arabic 13*"),"TH09",IF(1=COUNTIF(B97,"MAG Urdu 1*"),"TH27",IF(1=COUNTIF(B97,"MAG Arabic 14*"),"TH15",IF(1=COUNTIF(B97,"MAG Urdu 2*"),"TH28",IF(1=COUNTIF(B97,"MAG Bengali 2*"),"TH30",IF(1=COUNTIF(B97,"MAG Bengali 1*"),"TH29",IF(1=COUNTIF(B97,"MAG Arabic 16*"),"TH12",IF(1=COUNTIF(B97,"MAG Portuguese 02*"),"TH36",IF(1=COUNTIF(B97,"MAG Indonesian 02*"),"TH34",IF(1=COUNTIF(B97,"MAG French 1*"),"TH31","")))))))))))))))))))</f>
        <v>TH16</v>
      </c>
      <c r="D97" s="5" t="str">
        <f t="shared" si="12"/>
        <v>12</v>
      </c>
      <c r="E97" s="5" t="str">
        <f t="shared" si="7"/>
        <v>TH16-12</v>
      </c>
      <c r="F97" t="s">
        <v>303</v>
      </c>
      <c r="G97" s="3" t="s">
        <v>304</v>
      </c>
    </row>
    <row r="98" spans="1:7" x14ac:dyDescent="0.25">
      <c r="A98">
        <v>353820150</v>
      </c>
      <c r="B98" s="5" t="s">
        <v>305</v>
      </c>
      <c r="C98" t="str">
        <f t="shared" si="13"/>
        <v>TH16</v>
      </c>
      <c r="D98" s="5" t="str">
        <f t="shared" si="12"/>
        <v>10</v>
      </c>
      <c r="E98" s="5" t="str">
        <f t="shared" si="7"/>
        <v>TH16-10</v>
      </c>
      <c r="F98" t="s">
        <v>306</v>
      </c>
      <c r="G98" s="3" t="s">
        <v>307</v>
      </c>
    </row>
    <row r="99" spans="1:7" x14ac:dyDescent="0.25">
      <c r="A99">
        <v>353820026</v>
      </c>
      <c r="B99" s="5" t="s">
        <v>308</v>
      </c>
      <c r="C99" t="str">
        <f t="shared" si="13"/>
        <v>TH16</v>
      </c>
      <c r="D99" s="5" t="str">
        <f t="shared" si="12"/>
        <v>09</v>
      </c>
      <c r="E99" s="5" t="str">
        <f t="shared" si="7"/>
        <v>TH16-09</v>
      </c>
      <c r="F99" t="s">
        <v>309</v>
      </c>
      <c r="G99" s="3" t="s">
        <v>310</v>
      </c>
    </row>
    <row r="100" spans="1:7" x14ac:dyDescent="0.25">
      <c r="A100">
        <v>353819654</v>
      </c>
      <c r="B100" s="5" t="s">
        <v>311</v>
      </c>
      <c r="C100" t="str">
        <f t="shared" si="13"/>
        <v>TH16</v>
      </c>
      <c r="D100" s="5" t="str">
        <f t="shared" si="12"/>
        <v>06</v>
      </c>
      <c r="E100" s="5" t="str">
        <f t="shared" si="7"/>
        <v>TH16-06</v>
      </c>
      <c r="F100" t="s">
        <v>312</v>
      </c>
      <c r="G100" s="3" t="s">
        <v>313</v>
      </c>
    </row>
    <row r="101" spans="1:7" x14ac:dyDescent="0.25">
      <c r="A101">
        <v>353819282</v>
      </c>
      <c r="B101" s="5" t="s">
        <v>314</v>
      </c>
      <c r="C101" t="str">
        <f t="shared" si="13"/>
        <v>TH16</v>
      </c>
      <c r="D101" s="5" t="str">
        <f t="shared" si="12"/>
        <v>03</v>
      </c>
      <c r="E101" s="5" t="str">
        <f t="shared" si="7"/>
        <v>TH16-03</v>
      </c>
      <c r="F101" t="s">
        <v>315</v>
      </c>
      <c r="G101" s="3" t="s">
        <v>316</v>
      </c>
    </row>
    <row r="102" spans="1:7" x14ac:dyDescent="0.25">
      <c r="A102">
        <v>353811336</v>
      </c>
      <c r="B102" s="5" t="s">
        <v>317</v>
      </c>
      <c r="C102" t="str">
        <f t="shared" si="13"/>
        <v>TH12</v>
      </c>
      <c r="D102" s="5" t="str">
        <f t="shared" si="12"/>
        <v>09</v>
      </c>
      <c r="E102" s="5" t="str">
        <f t="shared" si="7"/>
        <v>TH12-09</v>
      </c>
      <c r="F102" t="s">
        <v>318</v>
      </c>
      <c r="G102" s="3" t="s">
        <v>319</v>
      </c>
    </row>
    <row r="103" spans="1:7" x14ac:dyDescent="0.25">
      <c r="A103">
        <v>353808598</v>
      </c>
      <c r="B103" s="5" t="s">
        <v>320</v>
      </c>
      <c r="C103" t="str">
        <f t="shared" si="13"/>
        <v>TH11</v>
      </c>
      <c r="D103" s="5" t="str">
        <f t="shared" si="12"/>
        <v>06</v>
      </c>
      <c r="E103" s="5" t="str">
        <f t="shared" si="7"/>
        <v>TH11-06</v>
      </c>
      <c r="F103" t="s">
        <v>321</v>
      </c>
      <c r="G103" s="3" t="s">
        <v>322</v>
      </c>
    </row>
    <row r="104" spans="1:7" x14ac:dyDescent="0.25">
      <c r="A104">
        <v>353824118</v>
      </c>
      <c r="B104" s="5" t="s">
        <v>323</v>
      </c>
      <c r="C104" t="str">
        <f t="shared" si="13"/>
        <v>TH22</v>
      </c>
      <c r="D104" s="5" t="str">
        <f t="shared" si="12"/>
        <v>4</v>
      </c>
      <c r="E104" s="5" t="str">
        <f t="shared" si="7"/>
        <v>TH22-4</v>
      </c>
      <c r="F104" t="s">
        <v>324</v>
      </c>
      <c r="G104" s="3" t="s">
        <v>325</v>
      </c>
    </row>
    <row r="105" spans="1:7" x14ac:dyDescent="0.25">
      <c r="A105">
        <v>353823994</v>
      </c>
      <c r="B105" s="5" t="s">
        <v>326</v>
      </c>
      <c r="C105" t="str">
        <f t="shared" si="13"/>
        <v>TH22</v>
      </c>
      <c r="D105" s="5" t="str">
        <f t="shared" si="12"/>
        <v>3</v>
      </c>
      <c r="E105" s="5" t="str">
        <f t="shared" si="7"/>
        <v>TH22-3</v>
      </c>
      <c r="F105" t="s">
        <v>327</v>
      </c>
      <c r="G105" s="3" t="s">
        <v>328</v>
      </c>
    </row>
    <row r="106" spans="1:7" x14ac:dyDescent="0.25">
      <c r="A106">
        <v>353823870</v>
      </c>
      <c r="B106" s="5" t="s">
        <v>329</v>
      </c>
      <c r="C106" t="str">
        <f t="shared" si="13"/>
        <v>TH22</v>
      </c>
      <c r="D106" s="5" t="str">
        <f t="shared" si="12"/>
        <v>2</v>
      </c>
      <c r="E106" s="5" t="str">
        <f t="shared" si="7"/>
        <v>TH22-2</v>
      </c>
      <c r="F106" t="s">
        <v>330</v>
      </c>
      <c r="G106" s="3" t="s">
        <v>331</v>
      </c>
    </row>
    <row r="107" spans="1:7" x14ac:dyDescent="0.25">
      <c r="A107">
        <v>353823746</v>
      </c>
      <c r="B107" s="5" t="s">
        <v>332</v>
      </c>
      <c r="C107" t="str">
        <f>IF(1=COUNTIF(B107,"MAG English 3*"),"TH14",IF(1=COUNTIF(B107,"MAG Arabic 12*"),"TH16",IF(1=COUNTIF(B107,"MAG Arabic 10*"),"TH21",IF(1=COUNTIF(B107,"MAG English 1*"),"TH17",IF(1=COUNTIF(B107,"MAG Arabic 7*"),"TH22",IF(1=COUNTIF(B107,"MAG Spanish 2*"),"TH20",IF(1=COUNTIF(B107,"MAG Japanese 2*"),"TH24",IF(1=COUNTIF(B107,"MAG Arabic 17*"),"TH11",IF(1=COUNTIF(B107,"MAG German 2*"),"TH26",IF(1=COUNTIF(B107,"MAG German 1*"),"TH25",IF(1=COUNTIF(B107,"MAG Arabic 13*"),"TH09",IF(1=COUNTIF(B107,"MAG Urdu 1*"),"TH27",IF(1=COUNTIF(B107,"MAG Arabic 14*"),"TH15",IF(1=COUNTIF(B107,"MAG Urdu 2*"),"TH28",IF(1=COUNTIF(B107,"MAG Bengali 2*"),"TH30",IF(1=COUNTIF(B107,"MAG Bengali 1*"),"TH29",IF(1=COUNTIF(B107,"MAG Arabic 16*"),"TH12",IF(1=COUNTIF(B107,"MAG Portuguese 02*"),"TH36",IF(1=COUNTIF(B107,"MAG Indonesian 02*"),"TH34",IF(1=COUNTIF(B107,"MAG French 1*"),"TH31",""))))))))))))))))))))</f>
        <v>TH22</v>
      </c>
      <c r="D107" s="5" t="str">
        <f t="shared" si="12"/>
        <v>1</v>
      </c>
      <c r="E107" s="5" t="str">
        <f t="shared" si="7"/>
        <v>TH22-1</v>
      </c>
      <c r="F107" t="s">
        <v>333</v>
      </c>
      <c r="G107" s="3" t="s">
        <v>334</v>
      </c>
    </row>
    <row r="108" spans="1:7" x14ac:dyDescent="0.25">
      <c r="A108">
        <v>353823498</v>
      </c>
      <c r="B108" s="5" t="s">
        <v>335</v>
      </c>
      <c r="C108" t="str">
        <f t="shared" ref="C108:C139" si="14">IF(1=COUNTIF(B108,"MAG English 3*"),"TH14",IF(1=COUNTIF(B108,"MAG Arabic 12*"),"TH16",IF(1=COUNTIF(B108,"MAG Arabic 10*"),"TH21",IF(1=COUNTIF(B108,"MAG English 1*"),"TH17",IF(1=COUNTIF(B108,"MAG Arabic 7*"),"TH22",IF(1=COUNTIF(B108,"MAG Spanish 2*"),"TH20",IF(1=COUNTIF(B108,"MAG Japanese 2*"),"TH24",IF(1=COUNTIF(B108,"MAG Arabic 17*"),"TH11",IF(1=COUNTIF(B108,"MAG German 2*"),"TH26",IF(1=COUNTIF(B108,"MAG German 1*"),"TH25",IF(1=COUNTIF(B108,"MAG Arabic 13*"),"TH09",IF(1=COUNTIF(B108,"MAG Urdu 1*"),"TH27",IF(1=COUNTIF(B108,"MAG Arabic 14*"),"TH15",IF(1=COUNTIF(B108,"MAG Urdu 2*"),"TH28",IF(1=COUNTIF(B108,"MAG Bengali 2*"),"TH30",IF(1=COUNTIF(B108,"MAG Bengali 1*"),"TH29",IF(1=COUNTIF(B108,"MAG Arabic 16*"),"TH12",IF(1=COUNTIF(B108,"MAG Portuguese 02*"),"TH36",IF(1=COUNTIF(B108,"MAG Indonesian 02*"),"TH34",IF(1=COUNTIF(B108,"MAG French 1*"),"TH31",""))))))))))))))))))))</f>
        <v>TH21</v>
      </c>
      <c r="D108" s="5" t="str">
        <f t="shared" si="12"/>
        <v>01</v>
      </c>
      <c r="E108" s="5" t="str">
        <f t="shared" si="7"/>
        <v>TH21-01</v>
      </c>
      <c r="F108" t="s">
        <v>336</v>
      </c>
      <c r="G108" s="3" t="s">
        <v>337</v>
      </c>
    </row>
    <row r="109" spans="1:7" x14ac:dyDescent="0.25">
      <c r="A109">
        <v>353823126</v>
      </c>
      <c r="B109" s="5" t="s">
        <v>338</v>
      </c>
      <c r="C109" t="str">
        <f t="shared" si="14"/>
        <v>TH20</v>
      </c>
      <c r="D109" s="5" t="str">
        <f t="shared" si="12"/>
        <v>06</v>
      </c>
      <c r="E109" s="5" t="str">
        <f t="shared" si="7"/>
        <v>TH20-06</v>
      </c>
      <c r="F109" t="s">
        <v>339</v>
      </c>
      <c r="G109" s="3" t="s">
        <v>340</v>
      </c>
    </row>
    <row r="110" spans="1:7" x14ac:dyDescent="0.25">
      <c r="A110">
        <v>353822754</v>
      </c>
      <c r="B110" s="5" t="s">
        <v>341</v>
      </c>
      <c r="C110" t="str">
        <f t="shared" si="14"/>
        <v>TH20</v>
      </c>
      <c r="D110" s="5" t="str">
        <f t="shared" si="12"/>
        <v>03</v>
      </c>
      <c r="E110" s="5" t="str">
        <f t="shared" si="7"/>
        <v>TH20-03</v>
      </c>
      <c r="F110" t="s">
        <v>339</v>
      </c>
      <c r="G110" s="3" t="s">
        <v>340</v>
      </c>
    </row>
    <row r="111" spans="1:7" x14ac:dyDescent="0.25">
      <c r="A111">
        <v>353822630</v>
      </c>
      <c r="B111" s="5" t="s">
        <v>342</v>
      </c>
      <c r="C111" t="str">
        <f t="shared" si="14"/>
        <v>TH20</v>
      </c>
      <c r="D111" s="5" t="str">
        <f t="shared" si="12"/>
        <v>02</v>
      </c>
      <c r="E111" s="5" t="str">
        <f t="shared" si="7"/>
        <v>TH20-02</v>
      </c>
      <c r="F111" t="s">
        <v>339</v>
      </c>
      <c r="G111" s="3" t="s">
        <v>340</v>
      </c>
    </row>
    <row r="112" spans="1:7" x14ac:dyDescent="0.25">
      <c r="A112">
        <v>353822258</v>
      </c>
      <c r="B112" s="5" t="s">
        <v>343</v>
      </c>
      <c r="C112" t="str">
        <f t="shared" si="14"/>
        <v>TH17</v>
      </c>
      <c r="D112" s="5" t="str">
        <f t="shared" si="12"/>
        <v>14</v>
      </c>
      <c r="E112" s="5" t="str">
        <f t="shared" si="7"/>
        <v>TH17-14</v>
      </c>
      <c r="F112" t="s">
        <v>344</v>
      </c>
      <c r="G112" s="3" t="s">
        <v>345</v>
      </c>
    </row>
    <row r="113" spans="1:7" x14ac:dyDescent="0.25">
      <c r="A113">
        <v>353822382</v>
      </c>
      <c r="B113" s="5" t="s">
        <v>346</v>
      </c>
      <c r="C113" t="str">
        <f t="shared" si="14"/>
        <v>TH17</v>
      </c>
      <c r="D113" s="5" t="str">
        <f t="shared" si="12"/>
        <v>15</v>
      </c>
      <c r="E113" s="5" t="str">
        <f t="shared" si="7"/>
        <v>TH17-15</v>
      </c>
      <c r="F113" t="s">
        <v>347</v>
      </c>
      <c r="G113" s="3" t="s">
        <v>348</v>
      </c>
    </row>
    <row r="114" spans="1:7" x14ac:dyDescent="0.25">
      <c r="A114">
        <v>353822010</v>
      </c>
      <c r="B114" s="5" t="s">
        <v>349</v>
      </c>
      <c r="C114" t="str">
        <f t="shared" si="14"/>
        <v>TH17</v>
      </c>
      <c r="D114" s="5" t="str">
        <f t="shared" si="12"/>
        <v>12</v>
      </c>
      <c r="E114" s="5" t="str">
        <f t="shared" si="7"/>
        <v>TH17-12</v>
      </c>
      <c r="F114" t="s">
        <v>350</v>
      </c>
      <c r="G114" s="3" t="s">
        <v>348</v>
      </c>
    </row>
    <row r="115" spans="1:7" x14ac:dyDescent="0.25">
      <c r="A115">
        <v>353822134</v>
      </c>
      <c r="B115" s="5" t="s">
        <v>351</v>
      </c>
      <c r="C115" t="str">
        <f t="shared" si="14"/>
        <v>TH17</v>
      </c>
      <c r="D115" s="5" t="str">
        <f t="shared" si="12"/>
        <v>13</v>
      </c>
      <c r="E115" s="5" t="str">
        <f t="shared" si="7"/>
        <v>TH17-13</v>
      </c>
      <c r="F115" t="s">
        <v>352</v>
      </c>
      <c r="G115" s="3" t="s">
        <v>348</v>
      </c>
    </row>
    <row r="116" spans="1:7" x14ac:dyDescent="0.25">
      <c r="A116">
        <v>353821886</v>
      </c>
      <c r="B116" s="5" t="s">
        <v>353</v>
      </c>
      <c r="C116" t="str">
        <f t="shared" si="14"/>
        <v>TH17</v>
      </c>
      <c r="D116" s="5" t="str">
        <f t="shared" si="12"/>
        <v>11</v>
      </c>
      <c r="E116" s="5" t="str">
        <f t="shared" si="7"/>
        <v>TH17-11</v>
      </c>
      <c r="F116" t="s">
        <v>354</v>
      </c>
      <c r="G116" s="3" t="s">
        <v>348</v>
      </c>
    </row>
    <row r="117" spans="1:7" x14ac:dyDescent="0.25">
      <c r="A117">
        <v>353820894</v>
      </c>
      <c r="B117" s="5" t="s">
        <v>355</v>
      </c>
      <c r="C117" t="str">
        <f t="shared" si="14"/>
        <v>TH17</v>
      </c>
      <c r="D117" s="5" t="str">
        <f t="shared" si="12"/>
        <v>03</v>
      </c>
      <c r="E117" s="5" t="str">
        <f t="shared" si="7"/>
        <v>TH17-03</v>
      </c>
      <c r="F117" t="s">
        <v>356</v>
      </c>
      <c r="G117" s="3" t="s">
        <v>357</v>
      </c>
    </row>
    <row r="118" spans="1:7" x14ac:dyDescent="0.25">
      <c r="A118">
        <v>353820770</v>
      </c>
      <c r="B118" s="5" t="s">
        <v>358</v>
      </c>
      <c r="C118" t="str">
        <f t="shared" si="14"/>
        <v>TH17</v>
      </c>
      <c r="D118" s="5" t="str">
        <f t="shared" si="12"/>
        <v>02</v>
      </c>
      <c r="E118" s="5" t="str">
        <f t="shared" si="7"/>
        <v>TH17-02</v>
      </c>
      <c r="F118" t="s">
        <v>359</v>
      </c>
      <c r="G118" s="3" t="s">
        <v>360</v>
      </c>
    </row>
    <row r="119" spans="1:7" x14ac:dyDescent="0.25">
      <c r="A119">
        <v>353819902</v>
      </c>
      <c r="B119" s="5" t="s">
        <v>361</v>
      </c>
      <c r="C119" t="str">
        <f t="shared" si="14"/>
        <v>TH16</v>
      </c>
      <c r="D119" s="5" t="str">
        <f t="shared" si="12"/>
        <v>08</v>
      </c>
      <c r="E119" s="5" t="str">
        <f t="shared" si="7"/>
        <v>TH16-08</v>
      </c>
      <c r="F119" t="s">
        <v>362</v>
      </c>
      <c r="G119" s="3" t="s">
        <v>363</v>
      </c>
    </row>
    <row r="120" spans="1:7" x14ac:dyDescent="0.25">
      <c r="A120">
        <v>353819778</v>
      </c>
      <c r="B120" s="5" t="s">
        <v>364</v>
      </c>
      <c r="C120" t="str">
        <f t="shared" si="14"/>
        <v>TH16</v>
      </c>
      <c r="D120" s="5" t="str">
        <f t="shared" si="12"/>
        <v>07</v>
      </c>
      <c r="E120" s="5" t="str">
        <f t="shared" si="7"/>
        <v>TH16-07</v>
      </c>
      <c r="F120" t="s">
        <v>362</v>
      </c>
      <c r="G120" s="3" t="s">
        <v>363</v>
      </c>
    </row>
    <row r="121" spans="1:7" x14ac:dyDescent="0.25">
      <c r="A121">
        <v>353820646</v>
      </c>
      <c r="B121" s="5" t="s">
        <v>365</v>
      </c>
      <c r="C121" t="str">
        <f t="shared" si="14"/>
        <v>TH17</v>
      </c>
      <c r="D121" s="5" t="str">
        <f t="shared" si="12"/>
        <v>01</v>
      </c>
      <c r="E121" s="5" t="str">
        <f t="shared" si="7"/>
        <v>TH17-01</v>
      </c>
      <c r="F121" t="s">
        <v>366</v>
      </c>
      <c r="G121" s="3" t="s">
        <v>367</v>
      </c>
    </row>
    <row r="122" spans="1:7" x14ac:dyDescent="0.25">
      <c r="A122">
        <v>353819034</v>
      </c>
      <c r="B122" s="5" t="s">
        <v>368</v>
      </c>
      <c r="C122" t="str">
        <f t="shared" si="14"/>
        <v>TH16</v>
      </c>
      <c r="D122" s="5" t="str">
        <f t="shared" si="12"/>
        <v>01</v>
      </c>
      <c r="E122" s="5" t="str">
        <f t="shared" si="7"/>
        <v>TH16-01</v>
      </c>
      <c r="F122" t="s">
        <v>369</v>
      </c>
      <c r="G122" s="3" t="s">
        <v>370</v>
      </c>
    </row>
    <row r="123" spans="1:7" x14ac:dyDescent="0.25">
      <c r="A123">
        <v>353818414</v>
      </c>
      <c r="B123" s="5" t="s">
        <v>371</v>
      </c>
      <c r="C123" t="str">
        <f t="shared" si="14"/>
        <v>TH15</v>
      </c>
      <c r="D123" s="5" t="str">
        <f t="shared" si="12"/>
        <v>15</v>
      </c>
      <c r="E123" s="5" t="str">
        <f t="shared" si="7"/>
        <v>TH15-15</v>
      </c>
      <c r="F123" t="s">
        <v>372</v>
      </c>
      <c r="G123" s="3" t="s">
        <v>373</v>
      </c>
    </row>
    <row r="124" spans="1:7" x14ac:dyDescent="0.25">
      <c r="A124">
        <v>353817918</v>
      </c>
      <c r="B124" s="5" t="s">
        <v>374</v>
      </c>
      <c r="C124" t="str">
        <f t="shared" si="14"/>
        <v>TH15</v>
      </c>
      <c r="D124" s="5" t="str">
        <f t="shared" si="12"/>
        <v>11</v>
      </c>
      <c r="E124" s="5" t="str">
        <f t="shared" si="7"/>
        <v>TH15-11</v>
      </c>
      <c r="F124" t="s">
        <v>375</v>
      </c>
      <c r="G124" s="3" t="s">
        <v>376</v>
      </c>
    </row>
    <row r="125" spans="1:7" x14ac:dyDescent="0.25">
      <c r="A125">
        <v>353817794</v>
      </c>
      <c r="B125" s="5" t="s">
        <v>377</v>
      </c>
      <c r="C125" t="str">
        <f t="shared" si="14"/>
        <v>TH15</v>
      </c>
      <c r="D125" s="5" t="str">
        <f t="shared" si="12"/>
        <v>10</v>
      </c>
      <c r="E125" s="5" t="str">
        <f t="shared" si="7"/>
        <v>TH15-10</v>
      </c>
      <c r="F125" t="s">
        <v>378</v>
      </c>
      <c r="G125" s="3" t="s">
        <v>379</v>
      </c>
    </row>
    <row r="126" spans="1:7" x14ac:dyDescent="0.25">
      <c r="A126">
        <v>353817298</v>
      </c>
      <c r="B126" s="5" t="s">
        <v>380</v>
      </c>
      <c r="C126" t="str">
        <f t="shared" si="14"/>
        <v>TH15</v>
      </c>
      <c r="D126" s="5" t="str">
        <f t="shared" si="12"/>
        <v>06</v>
      </c>
      <c r="E126" s="5" t="str">
        <f t="shared" si="7"/>
        <v>TH15-06</v>
      </c>
      <c r="F126" t="s">
        <v>381</v>
      </c>
      <c r="G126" s="3" t="s">
        <v>382</v>
      </c>
    </row>
    <row r="127" spans="1:7" x14ac:dyDescent="0.25">
      <c r="A127">
        <v>353830938</v>
      </c>
      <c r="B127" s="5" t="s">
        <v>383</v>
      </c>
      <c r="C127" t="str">
        <f t="shared" si="14"/>
        <v>TH30</v>
      </c>
      <c r="D127" s="5" t="str">
        <f t="shared" si="12"/>
        <v>02</v>
      </c>
      <c r="E127" s="5" t="str">
        <f t="shared" si="7"/>
        <v>TH30-02</v>
      </c>
      <c r="F127" t="s">
        <v>384</v>
      </c>
      <c r="G127" s="3" t="s">
        <v>385</v>
      </c>
    </row>
    <row r="128" spans="1:7" x14ac:dyDescent="0.25">
      <c r="A128">
        <v>353805622</v>
      </c>
      <c r="B128" s="5" t="s">
        <v>386</v>
      </c>
      <c r="C128" t="str">
        <f t="shared" si="14"/>
        <v>TH09</v>
      </c>
      <c r="D128" s="5" t="str">
        <f t="shared" si="12"/>
        <v>14</v>
      </c>
      <c r="E128" s="5" t="str">
        <f t="shared" si="7"/>
        <v>TH09-14</v>
      </c>
      <c r="F128" t="s">
        <v>387</v>
      </c>
      <c r="G128" s="3" t="s">
        <v>388</v>
      </c>
    </row>
    <row r="129" spans="1:8" x14ac:dyDescent="0.25">
      <c r="A129">
        <v>353806366</v>
      </c>
      <c r="B129" s="5" t="s">
        <v>389</v>
      </c>
      <c r="C129" t="str">
        <f t="shared" si="14"/>
        <v>TH09</v>
      </c>
      <c r="D129" s="5" t="str">
        <f t="shared" si="12"/>
        <v>20</v>
      </c>
      <c r="E129" s="5" t="str">
        <f t="shared" si="7"/>
        <v>TH09-20</v>
      </c>
      <c r="F129" t="s">
        <v>390</v>
      </c>
      <c r="G129" s="3" t="s">
        <v>391</v>
      </c>
      <c r="H129" s="4" t="s">
        <v>392</v>
      </c>
    </row>
    <row r="130" spans="1:8" x14ac:dyDescent="0.25">
      <c r="A130">
        <v>353834410</v>
      </c>
      <c r="B130" s="5" t="s">
        <v>393</v>
      </c>
      <c r="C130" t="str">
        <f t="shared" si="14"/>
        <v>TH31</v>
      </c>
      <c r="D130" s="5" t="str">
        <f t="shared" si="12"/>
        <v>4</v>
      </c>
      <c r="E130" s="5" t="str">
        <f t="shared" si="7"/>
        <v>TH31-4</v>
      </c>
      <c r="F130" t="s">
        <v>394</v>
      </c>
      <c r="G130" s="3" t="s">
        <v>395</v>
      </c>
    </row>
    <row r="131" spans="1:8" x14ac:dyDescent="0.25">
      <c r="A131">
        <v>353834286</v>
      </c>
      <c r="B131" s="5" t="s">
        <v>396</v>
      </c>
      <c r="C131" t="str">
        <f t="shared" si="14"/>
        <v>TH31</v>
      </c>
      <c r="D131" s="5" t="str">
        <f t="shared" si="12"/>
        <v>3</v>
      </c>
      <c r="E131" s="5" t="str">
        <f t="shared" si="7"/>
        <v>TH31-3</v>
      </c>
      <c r="F131" t="s">
        <v>394</v>
      </c>
      <c r="G131" s="3" t="s">
        <v>395</v>
      </c>
    </row>
    <row r="132" spans="1:8" x14ac:dyDescent="0.25">
      <c r="A132">
        <v>353834162</v>
      </c>
      <c r="B132" s="5" t="s">
        <v>397</v>
      </c>
      <c r="C132" t="str">
        <f t="shared" si="14"/>
        <v>TH31</v>
      </c>
      <c r="D132" s="5" t="str">
        <f t="shared" si="12"/>
        <v>2</v>
      </c>
      <c r="E132" s="5" t="str">
        <f t="shared" si="7"/>
        <v>TH31-2</v>
      </c>
      <c r="F132" t="s">
        <v>394</v>
      </c>
      <c r="G132" s="3" t="s">
        <v>395</v>
      </c>
    </row>
    <row r="133" spans="1:8" x14ac:dyDescent="0.25">
      <c r="A133">
        <v>353834038</v>
      </c>
      <c r="B133" s="5" t="s">
        <v>398</v>
      </c>
      <c r="C133" t="str">
        <f t="shared" si="14"/>
        <v>TH31</v>
      </c>
      <c r="D133" s="5" t="str">
        <f t="shared" si="12"/>
        <v>1</v>
      </c>
      <c r="E133" s="5" t="str">
        <f t="shared" ref="E133:E159" si="15">CONCATENATE(C133,"-",D133)</f>
        <v>TH31-1</v>
      </c>
      <c r="F133" t="s">
        <v>394</v>
      </c>
      <c r="G133" s="3" t="s">
        <v>395</v>
      </c>
    </row>
    <row r="134" spans="1:8" x14ac:dyDescent="0.25">
      <c r="A134">
        <v>353830814</v>
      </c>
      <c r="B134" s="5" t="s">
        <v>399</v>
      </c>
      <c r="C134" t="str">
        <f t="shared" si="14"/>
        <v>TH30</v>
      </c>
      <c r="D134" s="5" t="str">
        <f t="shared" si="12"/>
        <v>01</v>
      </c>
      <c r="E134" s="5" t="str">
        <f t="shared" si="15"/>
        <v>TH30-01</v>
      </c>
      <c r="F134" t="s">
        <v>400</v>
      </c>
      <c r="G134" s="3" t="s">
        <v>401</v>
      </c>
    </row>
    <row r="135" spans="1:8" x14ac:dyDescent="0.25">
      <c r="A135">
        <v>353817174</v>
      </c>
      <c r="B135" s="5" t="s">
        <v>402</v>
      </c>
      <c r="C135" t="str">
        <f t="shared" si="14"/>
        <v>TH15</v>
      </c>
      <c r="D135" s="5" t="str">
        <f t="shared" si="12"/>
        <v>05</v>
      </c>
      <c r="E135" s="5" t="str">
        <f t="shared" si="15"/>
        <v>TH15-05</v>
      </c>
      <c r="F135" t="s">
        <v>381</v>
      </c>
      <c r="G135" s="3" t="s">
        <v>382</v>
      </c>
    </row>
    <row r="136" spans="1:8" x14ac:dyDescent="0.25">
      <c r="A136">
        <v>353815438</v>
      </c>
      <c r="B136" s="5" t="s">
        <v>403</v>
      </c>
      <c r="C136" t="str">
        <f t="shared" si="14"/>
        <v>TH14</v>
      </c>
      <c r="D136" s="5" t="str">
        <f t="shared" si="12"/>
        <v>10</v>
      </c>
      <c r="E136" s="5" t="str">
        <f t="shared" si="15"/>
        <v>TH14-10</v>
      </c>
      <c r="F136" t="s">
        <v>394</v>
      </c>
      <c r="G136" s="3" t="s">
        <v>395</v>
      </c>
    </row>
    <row r="137" spans="1:8" x14ac:dyDescent="0.25">
      <c r="A137">
        <v>353830690</v>
      </c>
      <c r="B137" s="5" t="s">
        <v>404</v>
      </c>
      <c r="C137" t="str">
        <f t="shared" si="14"/>
        <v>TH29</v>
      </c>
      <c r="D137" s="5" t="str">
        <f t="shared" si="12"/>
        <v>08</v>
      </c>
      <c r="E137" s="5" t="str">
        <f t="shared" si="15"/>
        <v>TH29-08</v>
      </c>
      <c r="F137" t="s">
        <v>405</v>
      </c>
      <c r="G137" s="3" t="s">
        <v>406</v>
      </c>
    </row>
    <row r="138" spans="1:8" x14ac:dyDescent="0.25">
      <c r="A138">
        <v>353829946</v>
      </c>
      <c r="B138" s="5" t="s">
        <v>407</v>
      </c>
      <c r="C138" t="str">
        <f t="shared" si="14"/>
        <v>TH29</v>
      </c>
      <c r="D138" s="5" t="str">
        <f t="shared" si="12"/>
        <v>02</v>
      </c>
      <c r="E138" s="5" t="str">
        <f t="shared" si="15"/>
        <v>TH29-02</v>
      </c>
      <c r="F138" t="s">
        <v>408</v>
      </c>
      <c r="G138" s="3" t="s">
        <v>409</v>
      </c>
    </row>
    <row r="139" spans="1:8" x14ac:dyDescent="0.25">
      <c r="A139">
        <v>353829574</v>
      </c>
      <c r="B139" s="5" t="s">
        <v>410</v>
      </c>
      <c r="C139" t="str">
        <f t="shared" si="14"/>
        <v>TH28</v>
      </c>
      <c r="D139" s="5" t="str">
        <f>RIGHT(B139,FIND("-",B139)-11)</f>
        <v>7</v>
      </c>
      <c r="E139" s="5" t="str">
        <f t="shared" si="15"/>
        <v>TH28-7</v>
      </c>
      <c r="F139" t="s">
        <v>411</v>
      </c>
      <c r="G139" s="3" t="s">
        <v>412</v>
      </c>
    </row>
    <row r="140" spans="1:8" x14ac:dyDescent="0.25">
      <c r="A140">
        <v>353829450</v>
      </c>
      <c r="B140" s="5" t="s">
        <v>413</v>
      </c>
      <c r="C140" t="str">
        <f>IF(1=COUNTIF(B140,"MAG English 3*"),"TH14",IF(1=COUNTIF(B140,"MAG Arabic 12*"),"TH16",IF(1=COUNTIF(B140,"MAG English 3*"),"TH14",IF(1=COUNTIF(B140,"MAG Arabic 10*"),"TH21",IF(1=COUNTIF(B140,"MAG English 1*"),"TH17",IF(1=COUNTIF(B140,"MAG Arabic 7*"),"TH22",IF(1=COUNTIF(B140,"MAG Spanish 2*"),"TH20",IF(1=COUNTIF(B140,"MAG Japanese 2*"),"TH24",IF(1=COUNTIF(B140,"MAG Arabic 17*"),"TH11",IF(1=COUNTIF(B140,"MAG German 2*"),"TH26",IF(1=COUNTIF(B140,"MAG German 1*"),"TH25",IF(1=COUNTIF(B140,"MAG Arabic 13*"),"TH09",IF(1=COUNTIF(B140,"MAG Urdu 1*"),"TH27",IF(1=COUNTIF(B140,"MAG Arabic 14*"),"TH15",IF(1=COUNTIF(B140,"MAG Urdu 2*"),"TH28",IF(1=COUNTIF(B140,"MAG Bengali 2*"),"TH30",IF(1=COUNTIF(B140,"MAG Bengali 1*"),"TH29",IF(1=COUNTIF(B140,"MAG Arabic 16*"),"TH12",IF(1=COUNTIF(B140,"MAG Portuguese 02*"),"TH36",IF(1=COUNTIF(B140,"MAG Indonesian 02*"),"TH34",IF(1=COUNTIF(B140,"MAG French 1*"),"TH31","")))))))))))))))))))))</f>
        <v>TH28</v>
      </c>
      <c r="D140" s="5" t="str">
        <f>RIGHT(B140,FIND("-",B140)-11)</f>
        <v>6</v>
      </c>
      <c r="E140" s="5" t="str">
        <f t="shared" si="15"/>
        <v>TH28-6</v>
      </c>
      <c r="F140" t="s">
        <v>414</v>
      </c>
      <c r="G140" s="3" t="s">
        <v>415</v>
      </c>
    </row>
    <row r="141" spans="1:8" x14ac:dyDescent="0.25">
      <c r="A141">
        <v>353814684</v>
      </c>
      <c r="B141" s="5" t="s">
        <v>416</v>
      </c>
      <c r="C141" t="str">
        <f t="shared" ref="C141:C155" si="16">IF(1=COUNTIF(B141,"MAG English 3*"),"TH14",IF(1=COUNTIF(B141,"MAG Arabic 12*"),"TH16",IF(1=COUNTIF(B141,"MAG English 3*"),"TH14",IF(1=COUNTIF(B141,"MAG Arabic 10*"),"TH21",IF(1=COUNTIF(B141,"MAG English 1*"),"TH17",IF(1=COUNTIF(B141,"MAG Arabic 7*"),"TH22",IF(1=COUNTIF(B141,"MAG Spanish 2*"),"TH20",IF(1=COUNTIF(B141,"MAG Japanese 2*"),"TH24",IF(1=COUNTIF(B141,"MAG Arabic 17*"),"TH11",IF(1=COUNTIF(B141,"MAG German 2*"),"TH26",IF(1=COUNTIF(B141,"MAG German 1*"),"TH25",IF(1=COUNTIF(B141,"MAG Arabic 13*"),"TH09",IF(1=COUNTIF(B141,"MAG Urdu 1*"),"TH27",IF(1=COUNTIF(B141,"MAG Arabic 14*"),"TH15",IF(1=COUNTIF(B141,"MAG Urdu 2*"),"TH28",IF(1=COUNTIF(B141,"MAG Bengali 2*"),"TH30",IF(1=COUNTIF(B141,"MAG Bengali 1*"),"TH29",IF(1=COUNTIF(B141,"MAG Arabic 16*"),"TH12",IF(1=COUNTIF(B141,"MAG Portuguese 02*"),"TH36",IF(1=COUNTIF(B141,"MAG Indonesian 02*"),"TH34",IF(1=COUNTIF(B141,"MAG French 1*"),"TH31","")))))))))))))))))))))</f>
        <v>TH14</v>
      </c>
      <c r="D141" s="5" t="str">
        <f>RIGHT(B141,FIND("-",B141)-13)</f>
        <v>04</v>
      </c>
      <c r="E141" s="5" t="str">
        <f t="shared" si="15"/>
        <v>TH14-04</v>
      </c>
      <c r="F141" t="s">
        <v>417</v>
      </c>
      <c r="G141" s="3" t="s">
        <v>418</v>
      </c>
    </row>
    <row r="142" spans="1:8" x14ac:dyDescent="0.25">
      <c r="A142">
        <v>353826598</v>
      </c>
      <c r="B142" s="5" t="s">
        <v>419</v>
      </c>
      <c r="C142" t="str">
        <f t="shared" si="16"/>
        <v>TH25</v>
      </c>
      <c r="D142" s="5" t="str">
        <f>RIGHT(B142,FIND("-",B142)-13)</f>
        <v>7</v>
      </c>
      <c r="E142" s="5" t="str">
        <f t="shared" si="15"/>
        <v>TH25-7</v>
      </c>
      <c r="F142" t="s">
        <v>420</v>
      </c>
      <c r="G142" s="3" t="s">
        <v>421</v>
      </c>
    </row>
    <row r="143" spans="1:8" x14ac:dyDescent="0.25">
      <c r="A143">
        <v>353814560</v>
      </c>
      <c r="B143" s="5" t="s">
        <v>422</v>
      </c>
      <c r="C143" t="str">
        <f t="shared" si="16"/>
        <v>TH14</v>
      </c>
      <c r="D143" s="5" t="str">
        <f t="shared" ref="D143:D191" si="17">RIGHT(B143,FIND("-",B143)-13)</f>
        <v>03</v>
      </c>
      <c r="E143" s="5" t="str">
        <f t="shared" si="15"/>
        <v>TH14-03</v>
      </c>
      <c r="F143" t="s">
        <v>423</v>
      </c>
      <c r="G143" s="3" t="s">
        <v>424</v>
      </c>
    </row>
    <row r="144" spans="1:8" x14ac:dyDescent="0.25">
      <c r="A144">
        <v>353813816</v>
      </c>
      <c r="B144" s="5" t="s">
        <v>425</v>
      </c>
      <c r="C144" t="str">
        <f t="shared" si="16"/>
        <v>TH12</v>
      </c>
      <c r="D144" s="5" t="str">
        <f t="shared" si="17"/>
        <v>29</v>
      </c>
      <c r="E144" s="5" t="str">
        <f t="shared" si="15"/>
        <v>TH12-29</v>
      </c>
      <c r="F144" t="s">
        <v>426</v>
      </c>
      <c r="G144" s="3" t="s">
        <v>427</v>
      </c>
    </row>
    <row r="145" spans="1:7" x14ac:dyDescent="0.25">
      <c r="A145">
        <v>353826102</v>
      </c>
      <c r="B145" s="5" t="s">
        <v>428</v>
      </c>
      <c r="C145" t="str">
        <f t="shared" si="16"/>
        <v>TH25</v>
      </c>
      <c r="D145" s="5" t="str">
        <f t="shared" si="17"/>
        <v>3</v>
      </c>
      <c r="E145" s="5" t="str">
        <f t="shared" si="15"/>
        <v>TH25-3</v>
      </c>
      <c r="F145" t="s">
        <v>420</v>
      </c>
      <c r="G145" s="3" t="s">
        <v>421</v>
      </c>
    </row>
    <row r="146" spans="1:7" x14ac:dyDescent="0.25">
      <c r="A146">
        <v>353825978</v>
      </c>
      <c r="B146" s="5" t="s">
        <v>429</v>
      </c>
      <c r="C146" t="str">
        <f t="shared" si="16"/>
        <v>TH25</v>
      </c>
      <c r="D146" s="5" t="str">
        <f t="shared" si="17"/>
        <v>2</v>
      </c>
      <c r="E146" s="5" t="str">
        <f t="shared" si="15"/>
        <v>TH25-2</v>
      </c>
      <c r="F146" t="s">
        <v>420</v>
      </c>
      <c r="G146" s="3" t="s">
        <v>421</v>
      </c>
    </row>
    <row r="147" spans="1:7" x14ac:dyDescent="0.25">
      <c r="A147">
        <v>353825730</v>
      </c>
      <c r="B147" s="5" t="s">
        <v>430</v>
      </c>
      <c r="C147" t="str">
        <f t="shared" si="16"/>
        <v>TH24</v>
      </c>
      <c r="D147" s="5" t="str">
        <f t="shared" si="17"/>
        <v xml:space="preserve"> 08</v>
      </c>
      <c r="E147" s="5" t="str">
        <f t="shared" si="15"/>
        <v>TH24- 08</v>
      </c>
      <c r="F147" t="s">
        <v>431</v>
      </c>
      <c r="G147" s="3" t="s">
        <v>432</v>
      </c>
    </row>
    <row r="148" spans="1:7" x14ac:dyDescent="0.25">
      <c r="A148">
        <v>353812824</v>
      </c>
      <c r="B148" s="5" t="s">
        <v>433</v>
      </c>
      <c r="C148" t="str">
        <f t="shared" si="16"/>
        <v>TH12</v>
      </c>
      <c r="D148" s="5" t="str">
        <f t="shared" si="17"/>
        <v>21</v>
      </c>
      <c r="E148" s="5" t="str">
        <f t="shared" si="15"/>
        <v>TH12-21</v>
      </c>
      <c r="F148" t="s">
        <v>434</v>
      </c>
      <c r="G148" s="3" t="s">
        <v>435</v>
      </c>
    </row>
    <row r="149" spans="1:7" x14ac:dyDescent="0.25">
      <c r="A149">
        <v>353825358</v>
      </c>
      <c r="B149" s="5" t="s">
        <v>436</v>
      </c>
      <c r="C149" t="str">
        <f t="shared" si="16"/>
        <v>TH24</v>
      </c>
      <c r="D149" s="5" t="str">
        <f t="shared" si="17"/>
        <v xml:space="preserve"> 05</v>
      </c>
      <c r="E149" s="5" t="str">
        <f t="shared" si="15"/>
        <v>TH24- 05</v>
      </c>
      <c r="F149" t="s">
        <v>437</v>
      </c>
      <c r="G149" s="3" t="s">
        <v>438</v>
      </c>
    </row>
    <row r="150" spans="1:7" x14ac:dyDescent="0.25">
      <c r="A150">
        <v>353811832</v>
      </c>
      <c r="B150" s="5" t="s">
        <v>439</v>
      </c>
      <c r="C150" t="str">
        <f t="shared" si="16"/>
        <v>TH12</v>
      </c>
      <c r="D150" s="5" t="str">
        <f t="shared" si="17"/>
        <v>13</v>
      </c>
      <c r="E150" s="5" t="str">
        <f t="shared" si="15"/>
        <v>TH12-13</v>
      </c>
      <c r="F150" t="s">
        <v>440</v>
      </c>
      <c r="G150" s="3" t="s">
        <v>441</v>
      </c>
    </row>
    <row r="151" spans="1:7" x14ac:dyDescent="0.25">
      <c r="A151">
        <v>353812700</v>
      </c>
      <c r="B151" s="5" t="s">
        <v>442</v>
      </c>
      <c r="C151" t="str">
        <f t="shared" si="16"/>
        <v>TH12</v>
      </c>
      <c r="D151" s="5" t="str">
        <f t="shared" si="17"/>
        <v>20</v>
      </c>
      <c r="E151" s="5" t="str">
        <f t="shared" si="15"/>
        <v>TH12-20</v>
      </c>
      <c r="F151" t="s">
        <v>434</v>
      </c>
      <c r="G151" s="3" t="s">
        <v>435</v>
      </c>
    </row>
    <row r="152" spans="1:7" x14ac:dyDescent="0.25">
      <c r="A152">
        <v>353825234</v>
      </c>
      <c r="B152" s="5" t="s">
        <v>443</v>
      </c>
      <c r="C152" t="str">
        <f t="shared" si="16"/>
        <v>TH24</v>
      </c>
      <c r="D152" s="5" t="str">
        <f t="shared" si="17"/>
        <v xml:space="preserve"> 04</v>
      </c>
      <c r="E152" s="5" t="str">
        <f t="shared" si="15"/>
        <v>TH24- 04</v>
      </c>
      <c r="F152" t="s">
        <v>444</v>
      </c>
      <c r="G152" s="3" t="s">
        <v>445</v>
      </c>
    </row>
    <row r="153" spans="1:7" x14ac:dyDescent="0.25">
      <c r="A153">
        <v>353810840</v>
      </c>
      <c r="B153" s="5" t="s">
        <v>446</v>
      </c>
      <c r="C153" t="str">
        <f t="shared" si="16"/>
        <v>TH12</v>
      </c>
      <c r="D153" s="5" t="str">
        <f t="shared" si="17"/>
        <v>05</v>
      </c>
      <c r="E153" s="5" t="str">
        <f t="shared" si="15"/>
        <v>TH12-05</v>
      </c>
      <c r="F153" t="s">
        <v>434</v>
      </c>
      <c r="G153" s="3" t="s">
        <v>435</v>
      </c>
    </row>
    <row r="154" spans="1:7" x14ac:dyDescent="0.25">
      <c r="A154">
        <v>353810716</v>
      </c>
      <c r="B154" s="5" t="s">
        <v>447</v>
      </c>
      <c r="C154" t="str">
        <f t="shared" si="16"/>
        <v>TH12</v>
      </c>
      <c r="D154" s="5" t="str">
        <f t="shared" si="17"/>
        <v>04</v>
      </c>
      <c r="E154" s="5" t="str">
        <f t="shared" si="15"/>
        <v>TH12-04</v>
      </c>
      <c r="F154" t="s">
        <v>434</v>
      </c>
      <c r="G154" s="3" t="s">
        <v>435</v>
      </c>
    </row>
    <row r="155" spans="1:7" x14ac:dyDescent="0.25">
      <c r="A155">
        <v>353810592</v>
      </c>
      <c r="B155" s="5" t="s">
        <v>448</v>
      </c>
      <c r="C155" t="str">
        <f t="shared" si="16"/>
        <v>TH12</v>
      </c>
      <c r="D155" s="5" t="str">
        <f t="shared" si="17"/>
        <v>03</v>
      </c>
      <c r="E155" s="5" t="str">
        <f t="shared" si="15"/>
        <v>TH12-03</v>
      </c>
      <c r="F155" t="s">
        <v>449</v>
      </c>
      <c r="G155" s="3" t="s">
        <v>450</v>
      </c>
    </row>
    <row r="156" spans="1:7" x14ac:dyDescent="0.25">
      <c r="A156">
        <v>353824738</v>
      </c>
      <c r="B156" s="5" t="s">
        <v>451</v>
      </c>
      <c r="C156" t="str">
        <f>IF(1=COUNTIF(B156,"MAG English 3*"),"TH14",IF(1=COUNTIF(B156,"MAG Arabic 12*"),"TH16",IF(1=COUNTIF(B156,"MAG Japanese 1*"),"TH23",IF(1=COUNTIF(B156,"MAG English 3*"),"TH14",IF(1=COUNTIF(B156,"MAG Arabic 10*"),"TH21",IF(1=COUNTIF(B156,"MAG English 1*"),"TH17",IF(1=COUNTIF(B156,"MAG Arabic 7*"),"TH22",IF(1=COUNTIF(B156,"MAG Spanish 2*"),"TH20",IF(1=COUNTIF(B156,"MAG Japanese 2*"),"TH24",IF(1=COUNTIF(B156,"MAG Arabic 17*"),"TH11",IF(1=COUNTIF(B156,"MAG German 2*"),"TH26",IF(1=COUNTIF(B156,"MAG German 1*"),"TH25",IF(1=COUNTIF(B156,"MAG Arabic 13*"),"TH09",IF(1=COUNTIF(B156,"MAG Urdu 1*"),"TH27",IF(1=COUNTIF(B156,"MAG Arabic 14*"),"TH15",IF(1=COUNTIF(B156,"MAG Urdu 2*"),"TH28",IF(1=COUNTIF(B156,"MAG Bengali 2*"),"TH30",IF(1=COUNTIF(B156,"MAG Bengali 1*"),"TH29",IF(1=COUNTIF(B156,"MAG Arabic 16*"),"TH12",IF(1=COUNTIF(B156,"MAG Portuguese 02*"),"TH36",IF(1=COUNTIF(B156,"MAG Indonesian 02*"),"TH34",IF(1=COUNTIF(B156,"MAG French 1*"),"TH31",""))))))))))))))))))))))</f>
        <v>TH23</v>
      </c>
      <c r="D156" s="5" t="str">
        <f t="shared" si="17"/>
        <v xml:space="preserve"> 02</v>
      </c>
      <c r="E156" s="5" t="str">
        <f t="shared" si="15"/>
        <v>TH23- 02</v>
      </c>
      <c r="F156" t="s">
        <v>452</v>
      </c>
      <c r="G156" s="3" t="s">
        <v>453</v>
      </c>
    </row>
    <row r="157" spans="1:7" x14ac:dyDescent="0.25">
      <c r="A157">
        <v>353810468</v>
      </c>
      <c r="B157" s="5" t="s">
        <v>454</v>
      </c>
      <c r="C157" t="str">
        <f>IF(1=COUNTIF(B157,"MAG English 3*"),"TH14",IF(1=COUNTIF(B157,"MAG Arabic 12*"),"TH16",IF(1=COUNTIF(B157,"MAG Japanese 1*"),"TH23",IF(1=COUNTIF(B157,"MAG English 3*"),"TH14",IF(1=COUNTIF(B157,"MAG Arabic 10*"),"TH21",IF(1=COUNTIF(B157,"MAG English 1*"),"TH17",IF(1=COUNTIF(B157,"MAG Arabic 7*"),"TH22",IF(1=COUNTIF(B157,"MAG Spanish 2*"),"TH20",IF(1=COUNTIF(B157,"MAG Japanese 2*"),"TH24",IF(1=COUNTIF(B157,"MAG Arabic 17*"),"TH11",IF(1=COUNTIF(B157,"MAG German 2*"),"TH26",IF(1=COUNTIF(B157,"MAG German 1*"),"TH25",IF(1=COUNTIF(B157,"MAG Arabic 13*"),"TH09",IF(1=COUNTIF(B157,"MAG Urdu 1*"),"TH27",IF(1=COUNTIF(B157,"MAG Arabic 14*"),"TH15",IF(1=COUNTIF(B157,"MAG Urdu 2*"),"TH28",IF(1=COUNTIF(B157,"MAG Bengali 2*"),"TH30",IF(1=COUNTIF(B157,"MAG Bengali 1*"),"TH29",IF(1=COUNTIF(B157,"MAG Arabic 16*"),"TH12",IF(1=COUNTIF(B157,"MAG Portuguese 02*"),"TH36",IF(1=COUNTIF(B157,"MAG Indonesian 02*"),"TH34",IF(1=COUNTIF(B157,"MAG French 1*"),"TH31",""))))))))))))))))))))))</f>
        <v>TH12</v>
      </c>
      <c r="D157" s="5" t="str">
        <f t="shared" si="17"/>
        <v>02</v>
      </c>
      <c r="E157" s="5" t="str">
        <f t="shared" si="15"/>
        <v>TH12-02</v>
      </c>
      <c r="F157" t="s">
        <v>449</v>
      </c>
      <c r="G157" s="3" t="s">
        <v>450</v>
      </c>
    </row>
    <row r="158" spans="1:7" x14ac:dyDescent="0.25">
      <c r="A158">
        <v>353810220</v>
      </c>
      <c r="B158" s="5" t="s">
        <v>455</v>
      </c>
      <c r="C158" t="str">
        <f>IF(1=COUNTIF(B158,"MAG English 3*"),"TH14",IF(1=COUNTIF(B158,"MAG Arabic 12*"),"TH16",IF(1=COUNTIF(B158,"MAG Japanese 1*"),"TH23",IF(1=COUNTIF(B158,"MAG English 3*"),"TH14",IF(1=COUNTIF(B158,"MAG Arabic 10*"),"TH21",IF(1=COUNTIF(B158,"MAG English 1*"),"TH17",IF(1=COUNTIF(B158,"MAG Arabic 7*"),"TH22",IF(1=COUNTIF(B158,"MAG Spanish 2*"),"TH20",IF(1=COUNTIF(B158,"MAG Japanese 2*"),"TH24",IF(1=COUNTIF(B158,"MAG Arabic 17*"),"TH11",IF(1=COUNTIF(B158,"MAG German 2*"),"TH26",IF(1=COUNTIF(B158,"MAG German 1*"),"TH25",IF(1=COUNTIF(B158,"MAG Arabic 13*"),"TH09",IF(1=COUNTIF(B158,"MAG Urdu 1*"),"TH27",IF(1=COUNTIF(B158,"MAG Arabic 14*"),"TH15",IF(1=COUNTIF(B158,"MAG Urdu 2*"),"TH28",IF(1=COUNTIF(B158,"MAG Bengali 2*"),"TH30",IF(1=COUNTIF(B158,"MAG Bengali 1*"),"TH29",IF(1=COUNTIF(B158,"MAG Arabic 16*"),"TH12",IF(1=COUNTIF(B158,"MAG Portuguese 02*"),"TH36",IF(1=COUNTIF(B158,"MAG Indonesian 02*"),"TH34",IF(1=COUNTIF(B158,"MAG French 1*"),"TH31",""))))))))))))))))))))))</f>
        <v>TH11</v>
      </c>
      <c r="D158" s="5" t="str">
        <f t="shared" si="17"/>
        <v>19</v>
      </c>
      <c r="E158" s="5" t="str">
        <f t="shared" si="15"/>
        <v>TH11-19</v>
      </c>
      <c r="F158" t="s">
        <v>456</v>
      </c>
      <c r="G158" s="3" t="s">
        <v>457</v>
      </c>
    </row>
    <row r="159" spans="1:7" x14ac:dyDescent="0.25">
      <c r="A159">
        <v>353824614</v>
      </c>
      <c r="B159" s="5" t="s">
        <v>458</v>
      </c>
      <c r="C159" t="str">
        <f>IF(1=COUNTIF(B159,"MAG English 3*"),"TH14",IF(1=COUNTIF(B159,"MAG Arabic 12*"),"TH16",IF(1=COUNTIF(B159,"MAG Japanese 1*"),"TH23",IF(1=COUNTIF(B159,"MAG English 3*"),"TH14",IF(1=COUNTIF(B159,"MAG Arabic 10*"),"TH21",IF(1=COUNTIF(B159,"MAG English 1*"),"TH17",IF(1=COUNTIF(B159,"MAG Arabic 7*"),"TH22",IF(1=COUNTIF(B159,"MAG Spanish 2*"),"TH20",IF(1=COUNTIF(B159,"MAG Japanese 2*"),"TH24",IF(1=COUNTIF(B159,"MAG Arabic 17*"),"TH11",IF(1=COUNTIF(B159,"MAG German 2*"),"TH26",IF(1=COUNTIF(B159,"MAG German 1*"),"TH25",IF(1=COUNTIF(B159,"MAG Arabic 13*"),"TH09",IF(1=COUNTIF(B159,"MAG Urdu 1*"),"TH27",IF(1=COUNTIF(B159,"MAG Arabic 14*"),"TH15",IF(1=COUNTIF(B159,"MAG Urdu 2*"),"TH28",IF(1=COUNTIF(B159,"MAG Bengali 2*"),"TH30",IF(1=COUNTIF(B159,"MAG Bengali 1*"),"TH29",IF(1=COUNTIF(B159,"MAG Arabic 16*"),"TH12",IF(1=COUNTIF(B159,"MAG Portuguese 02*"),"TH36",IF(1=COUNTIF(B159,"MAG Indonesian 02*"),"TH34",IF(1=COUNTIF(B159,"MAG French 1*"),"TH31",""))))))))))))))))))))))</f>
        <v>TH23</v>
      </c>
      <c r="D159" s="5" t="str">
        <f t="shared" si="17"/>
        <v xml:space="preserve"> 01</v>
      </c>
      <c r="E159" s="5" t="str">
        <f t="shared" si="15"/>
        <v>TH23- 01</v>
      </c>
      <c r="F159" t="s">
        <v>459</v>
      </c>
      <c r="G159" s="3" t="s">
        <v>460</v>
      </c>
    </row>
    <row r="160" spans="1:7" x14ac:dyDescent="0.25">
      <c r="A160">
        <v>353809848</v>
      </c>
      <c r="B160" s="5" t="s">
        <v>461</v>
      </c>
      <c r="C160" t="str">
        <f>IF(1=COUNTIF(B160,"MAG English 3*"),"TH14",IF(1=COUNTIF(B160,"MAG Arabic 12*"),"TH16",IF(1=COUNTIF(B160,"MAG Japanese 1*"),"TH23",IF(1=COUNTIF(B160,"MAG English 3*"),"TH14",IF(1=COUNTIF(B160,"MAG Arabic 10*"),"TH21",IF(1=COUNTIF(B160,"MAG English 1*"),"TH17",IF(1=COUNTIF(B160,"MAG Arabic 7*"),"TH22",IF(1=COUNTIF(B160,"MAG Spanish 2*"),"TH20",IF(1=COUNTIF(B160,"MAG Japanese 2*"),"TH24",IF(1=COUNTIF(B160,"MAG Arabic 17*"),"TH11",IF(1=COUNTIF(B160,"MAG German 2*"),"TH26",IF(1=COUNTIF(B160,"MAG German 1*"),"TH25",IF(1=COUNTIF(B160,"MAG Arabic 13*"),"TH09",IF(1=COUNTIF(B160,"MAG Urdu 1*"),"TH27",IF(1=COUNTIF(B160,"MAG Arabic 14*"),"TH15",IF(1=COUNTIF(B160,"MAG Urdu 2*"),"TH28",IF(1=COUNTIF(B160,"MAG Bengali 2*"),"TH30",IF(1=COUNTIF(B160,"MAG Bengali 1*"),"TH29",IF(1=COUNTIF(B160,"MAG Arabic 16*"),"TH12",IF(1=COUNTIF(B160,"MAG Portuguese 02*"),"TH36",IF(1=COUNTIF(B160,"MAG Indonesian 02*"),"TH34",IF(1=COUNTIF(B160,"MAG French 1*"),"TH31",""))))))))))))))))))))))</f>
        <v>TH11</v>
      </c>
      <c r="D160" s="5" t="str">
        <f t="shared" si="17"/>
        <v>16</v>
      </c>
      <c r="E160" s="5" t="str">
        <f>CONCATENATE(C160,"-",D160)</f>
        <v>TH11-16</v>
      </c>
      <c r="F160" t="s">
        <v>462</v>
      </c>
      <c r="G160" s="3" t="s">
        <v>463</v>
      </c>
    </row>
    <row r="161" spans="1:7" x14ac:dyDescent="0.25">
      <c r="A161">
        <v>353824366</v>
      </c>
      <c r="B161" s="5" t="s">
        <v>464</v>
      </c>
      <c r="C161" t="str">
        <f t="shared" ref="C161:C182" si="18">IF(1=COUNTIF(B161,"MAG English 3*"),"TH14",IF(1=COUNTIF(B161,"MAG Arabic 12*"),"TH16",IF(1=COUNTIF(B161,"MAG Japanese 1*"),"TH23",IF(1=COUNTIF(B161,"MAG English 3*"),"TH14",IF(1=COUNTIF(B161,"MAG Arabic 10*"),"TH21",IF(1=COUNTIF(B161,"MAG English 1*"),"TH17",IF(1=COUNTIF(B161,"MAG Arabic 7*"),"TH22",IF(1=COUNTIF(B161,"MAG Spanish 2*"),"TH20",IF(1=COUNTIF(B161,"MAG Japanese 2*"),"TH24",IF(1=COUNTIF(B161,"MAG Arabic 17*"),"TH11",IF(1=COUNTIF(B161,"MAG German 2*"),"TH26",IF(1=COUNTIF(B161,"MAG German 1*"),"TH25",IF(1=COUNTIF(B161,"MAG Arabic 13*"),"TH09",IF(1=COUNTIF(B161,"MAG Urdu 1*"),"TH27",IF(1=COUNTIF(B161,"MAG Arabic 14*"),"TH15",IF(1=COUNTIF(B161,"MAG Urdu 2*"),"TH28",IF(1=COUNTIF(B161,"MAG Bengali 2*"),"TH30",IF(1=COUNTIF(B161,"MAG Bengali 1*"),"TH29",IF(1=COUNTIF(B161,"MAG Arabic 16*"),"TH12",IF(1=COUNTIF(B161,"MAG Portuguese 02*"),"TH36",IF(1=COUNTIF(B161,"MAG Indonesian 02*"),"TH34",IF(1=COUNTIF(B161,"MAG French 1*"),"TH31",""))))))))))))))))))))))</f>
        <v>TH22</v>
      </c>
      <c r="D161" s="5" t="str">
        <f t="shared" si="17"/>
        <v>6</v>
      </c>
      <c r="E161" s="5" t="str">
        <f t="shared" ref="E161:E206" si="19">CONCATENATE(C161,"-",D161)</f>
        <v>TH22-6</v>
      </c>
      <c r="F161" t="s">
        <v>465</v>
      </c>
      <c r="G161" s="3" t="s">
        <v>340</v>
      </c>
    </row>
    <row r="162" spans="1:7" x14ac:dyDescent="0.25">
      <c r="A162">
        <v>353824242</v>
      </c>
      <c r="B162" s="5" t="s">
        <v>466</v>
      </c>
      <c r="C162" t="str">
        <f t="shared" si="18"/>
        <v>TH22</v>
      </c>
      <c r="D162" s="5" t="str">
        <f t="shared" si="17"/>
        <v>5</v>
      </c>
      <c r="E162" s="5" t="str">
        <f t="shared" si="19"/>
        <v>TH22-5</v>
      </c>
      <c r="F162" t="s">
        <v>467</v>
      </c>
      <c r="G162" s="3" t="s">
        <v>468</v>
      </c>
    </row>
    <row r="163" spans="1:7" x14ac:dyDescent="0.25">
      <c r="A163">
        <v>353808226</v>
      </c>
      <c r="B163" s="5" t="s">
        <v>469</v>
      </c>
      <c r="C163" t="str">
        <f t="shared" si="18"/>
        <v>TH11</v>
      </c>
      <c r="D163" s="5" t="str">
        <f t="shared" si="17"/>
        <v>03</v>
      </c>
      <c r="E163" s="5" t="str">
        <f t="shared" si="19"/>
        <v>TH11-03</v>
      </c>
      <c r="F163" t="s">
        <v>470</v>
      </c>
      <c r="G163" s="3" t="s">
        <v>471</v>
      </c>
    </row>
    <row r="164" spans="1:7" x14ac:dyDescent="0.25">
      <c r="A164">
        <v>353809094</v>
      </c>
      <c r="B164" s="5" t="s">
        <v>472</v>
      </c>
      <c r="C164" t="str">
        <f>IF(1=COUNTIF(B164,"MAG English 3*"),"TH14",IF(1=COUNTIF(B164,"MAG Arabic 12*"),"TH16",IF(1=COUNTIF(B164,"MAG Arabic 15*"),"TH10",IF(1=COUNTIF(B164,"MAG Japanese 1*"),"TH23",IF(1=COUNTIF(B164,"MAG English 3*"),"TH14",IF(1=COUNTIF(B164,"MAG Arabic 10*"),"TH21",IF(1=COUNTIF(B164,"MAG English 1*"),"TH17",IF(1=COUNTIF(B164,"MAG Arabic 7*"),"TH22",IF(1=COUNTIF(B164,"MAG Spanish 2*"),"TH20",IF(1=COUNTIF(B164,"MAG Japanese 2*"),"TH24",IF(1=COUNTIF(B164,"MAG Arabic 17*"),"TH11",IF(1=COUNTIF(B164,"MAG German 2*"),"TH26",IF(1=COUNTIF(B164,"MAG German 1*"),"TH25",IF(1=COUNTIF(B164,"MAG Arabic 13*"),"TH09",IF(1=COUNTIF(B164,"MAG Urdu 1*"),"TH27",IF(1=COUNTIF(B164,"MAG Arabic 14*"),"TH15",IF(1=COUNTIF(B164,"MAG Urdu 2*"),"TH28",IF(1=COUNTIF(B164,"MAG Bengali 2*"),"TH30",IF(1=COUNTIF(B164,"MAG Bengali 1*"),"TH29",IF(1=COUNTIF(B164,"MAG Arabic 16*"),"TH12",IF(1=COUNTIF(B164,"MAG Portuguese 02*"),"TH36",IF(1=COUNTIF(B164,"MAG Indonesian 02*"),"TH34",IF(1=COUNTIF(B164,"MAG French 1*"),"TH31","")))))))))))))))))))))))</f>
        <v>TH11</v>
      </c>
      <c r="D164" s="5" t="str">
        <f t="shared" si="17"/>
        <v>10</v>
      </c>
      <c r="E164" s="5" t="str">
        <f t="shared" si="19"/>
        <v>TH11-10</v>
      </c>
      <c r="F164" t="s">
        <v>465</v>
      </c>
      <c r="G164" s="3" t="s">
        <v>340</v>
      </c>
    </row>
    <row r="165" spans="1:7" x14ac:dyDescent="0.25">
      <c r="A165">
        <v>353807482</v>
      </c>
      <c r="B165" s="5" t="s">
        <v>473</v>
      </c>
      <c r="C165" t="str">
        <f t="shared" ref="C165:C175" si="20">IF(1=COUNTIF(B165,"MAG English 3*"),"TH14",IF(1=COUNTIF(B165,"MAG Arabic 12*"),"TH16",IF(1=COUNTIF(B165,"MAG Arabic 15*"),"TH10",IF(1=COUNTIF(B165,"MAG Japanese 1*"),"TH23",IF(1=COUNTIF(B165,"MAG English 3*"),"TH14",IF(1=COUNTIF(B165,"MAG Arabic 10*"),"TH21",IF(1=COUNTIF(B165,"MAG English 1*"),"TH17",IF(1=COUNTIF(B165,"MAG Arabic 7*"),"TH22",IF(1=COUNTIF(B165,"MAG Spanish 2*"),"TH20",IF(1=COUNTIF(B165,"MAG Japanese 2*"),"TH24",IF(1=COUNTIF(B165,"MAG Arabic 17*"),"TH11",IF(1=COUNTIF(B165,"MAG German 2*"),"TH26",IF(1=COUNTIF(B165,"MAG German 1*"),"TH25",IF(1=COUNTIF(B165,"MAG Arabic 13*"),"TH09",IF(1=COUNTIF(B165,"MAG Urdu 1*"),"TH27",IF(1=COUNTIF(B165,"MAG Arabic 14*"),"TH15",IF(1=COUNTIF(B165,"MAG Urdu 2*"),"TH28",IF(1=COUNTIF(B165,"MAG Bengali 2*"),"TH30",IF(1=COUNTIF(B165,"MAG Bengali 1*"),"TH29",IF(1=COUNTIF(B165,"MAG Arabic 16*"),"TH12",IF(1=COUNTIF(B165,"MAG Portuguese 02*"),"TH36",IF(1=COUNTIF(B165,"MAG Indonesian 02*"),"TH34",IF(1=COUNTIF(B165,"MAG French 1*"),"TH31","")))))))))))))))))))))))</f>
        <v>TH10</v>
      </c>
      <c r="D165" s="5" t="str">
        <f t="shared" si="17"/>
        <v>06</v>
      </c>
      <c r="E165" s="5" t="str">
        <f t="shared" si="19"/>
        <v>TH10-06</v>
      </c>
      <c r="F165" t="s">
        <v>474</v>
      </c>
      <c r="G165" s="3" t="s">
        <v>475</v>
      </c>
    </row>
    <row r="166" spans="1:7" x14ac:dyDescent="0.25">
      <c r="A166">
        <v>353807730</v>
      </c>
      <c r="B166" s="5" t="s">
        <v>476</v>
      </c>
      <c r="C166" t="str">
        <f t="shared" si="20"/>
        <v>TH10</v>
      </c>
      <c r="D166" s="5" t="str">
        <f t="shared" si="17"/>
        <v>08</v>
      </c>
      <c r="E166" s="5" t="str">
        <f t="shared" si="19"/>
        <v>TH10-08</v>
      </c>
      <c r="F166" t="s">
        <v>477</v>
      </c>
      <c r="G166" s="3" t="s">
        <v>478</v>
      </c>
    </row>
    <row r="167" spans="1:7" x14ac:dyDescent="0.25">
      <c r="A167">
        <v>353807234</v>
      </c>
      <c r="B167" s="5" t="s">
        <v>479</v>
      </c>
      <c r="C167" t="str">
        <f t="shared" si="20"/>
        <v>TH10</v>
      </c>
      <c r="D167" s="5" t="str">
        <f t="shared" si="17"/>
        <v>04</v>
      </c>
      <c r="E167" s="5" t="str">
        <f t="shared" si="19"/>
        <v>TH10-04</v>
      </c>
      <c r="F167" t="s">
        <v>480</v>
      </c>
      <c r="G167" s="3" t="s">
        <v>481</v>
      </c>
    </row>
    <row r="168" spans="1:7" x14ac:dyDescent="0.25">
      <c r="A168">
        <v>353806862</v>
      </c>
      <c r="B168" s="5" t="s">
        <v>482</v>
      </c>
      <c r="C168" t="str">
        <f t="shared" si="20"/>
        <v>TH10</v>
      </c>
      <c r="D168" s="5" t="str">
        <f t="shared" si="17"/>
        <v>01</v>
      </c>
      <c r="E168" s="5" t="str">
        <f t="shared" si="19"/>
        <v>TH10-01</v>
      </c>
      <c r="F168" t="s">
        <v>483</v>
      </c>
      <c r="G168" s="3" t="s">
        <v>484</v>
      </c>
    </row>
    <row r="169" spans="1:7" x14ac:dyDescent="0.25">
      <c r="A169">
        <v>353806986</v>
      </c>
      <c r="B169" s="5" t="s">
        <v>485</v>
      </c>
      <c r="C169" t="str">
        <f t="shared" si="20"/>
        <v>TH10</v>
      </c>
      <c r="D169" s="5" t="str">
        <f t="shared" si="17"/>
        <v>02</v>
      </c>
      <c r="E169" s="5" t="str">
        <f t="shared" si="19"/>
        <v>TH10-02</v>
      </c>
      <c r="F169" t="s">
        <v>486</v>
      </c>
      <c r="G169" s="3" t="s">
        <v>487</v>
      </c>
    </row>
    <row r="170" spans="1:7" x14ac:dyDescent="0.25">
      <c r="A170">
        <v>353806738</v>
      </c>
      <c r="B170" s="5" t="s">
        <v>488</v>
      </c>
      <c r="C170" t="str">
        <f t="shared" si="20"/>
        <v>TH09</v>
      </c>
      <c r="D170" s="5" t="str">
        <f t="shared" si="17"/>
        <v>23</v>
      </c>
      <c r="E170" s="5" t="str">
        <f t="shared" si="19"/>
        <v>TH09-23</v>
      </c>
      <c r="F170" t="s">
        <v>489</v>
      </c>
      <c r="G170" s="3" t="s">
        <v>490</v>
      </c>
    </row>
    <row r="171" spans="1:7" x14ac:dyDescent="0.25">
      <c r="A171">
        <v>353806490</v>
      </c>
      <c r="B171" s="5" t="s">
        <v>491</v>
      </c>
      <c r="C171" t="str">
        <f t="shared" si="20"/>
        <v>TH09</v>
      </c>
      <c r="D171" s="5" t="str">
        <f t="shared" si="17"/>
        <v>21</v>
      </c>
      <c r="E171" s="5" t="str">
        <f t="shared" si="19"/>
        <v>TH09-21</v>
      </c>
      <c r="F171" t="s">
        <v>492</v>
      </c>
      <c r="G171" s="3" t="s">
        <v>493</v>
      </c>
    </row>
    <row r="172" spans="1:7" x14ac:dyDescent="0.25">
      <c r="A172">
        <v>353805994</v>
      </c>
      <c r="B172" s="5" t="s">
        <v>494</v>
      </c>
      <c r="C172" t="str">
        <f t="shared" si="20"/>
        <v>TH09</v>
      </c>
      <c r="D172" s="5" t="str">
        <f t="shared" si="17"/>
        <v>17</v>
      </c>
      <c r="E172" s="5" t="str">
        <f t="shared" si="19"/>
        <v>TH09-17</v>
      </c>
      <c r="F172" t="s">
        <v>495</v>
      </c>
      <c r="G172" s="3" t="s">
        <v>496</v>
      </c>
    </row>
    <row r="173" spans="1:7" x14ac:dyDescent="0.25">
      <c r="A173">
        <v>353805870</v>
      </c>
      <c r="B173" s="5" t="s">
        <v>497</v>
      </c>
      <c r="C173" t="str">
        <f t="shared" si="20"/>
        <v>TH09</v>
      </c>
      <c r="D173" s="5" t="str">
        <f t="shared" si="17"/>
        <v>16</v>
      </c>
      <c r="E173" s="5" t="str">
        <f t="shared" si="19"/>
        <v>TH09-16</v>
      </c>
      <c r="F173" t="s">
        <v>498</v>
      </c>
      <c r="G173" s="3" t="s">
        <v>499</v>
      </c>
    </row>
    <row r="174" spans="1:7" x14ac:dyDescent="0.25">
      <c r="A174">
        <v>353805250</v>
      </c>
      <c r="B174" s="5" t="s">
        <v>500</v>
      </c>
      <c r="C174" t="str">
        <f t="shared" si="20"/>
        <v>TH09</v>
      </c>
      <c r="D174" s="5" t="str">
        <f t="shared" si="17"/>
        <v>11</v>
      </c>
      <c r="E174" s="5" t="str">
        <f t="shared" si="19"/>
        <v>TH09-11</v>
      </c>
      <c r="F174" t="s">
        <v>501</v>
      </c>
      <c r="G174" s="3" t="s">
        <v>502</v>
      </c>
    </row>
    <row r="175" spans="1:7" x14ac:dyDescent="0.25">
      <c r="A175">
        <v>353805746</v>
      </c>
      <c r="B175" s="5" t="s">
        <v>503</v>
      </c>
      <c r="C175" t="str">
        <f t="shared" si="20"/>
        <v>TH09</v>
      </c>
      <c r="D175" s="5" t="str">
        <f t="shared" si="17"/>
        <v>15</v>
      </c>
      <c r="E175" s="5" t="str">
        <f t="shared" si="19"/>
        <v>TH09-15</v>
      </c>
      <c r="F175" t="s">
        <v>504</v>
      </c>
      <c r="G175" s="3" t="s">
        <v>505</v>
      </c>
    </row>
    <row r="176" spans="1:7" x14ac:dyDescent="0.25">
      <c r="A176">
        <v>353805126</v>
      </c>
      <c r="B176" s="5" t="s">
        <v>506</v>
      </c>
      <c r="C176" t="str">
        <f t="shared" si="18"/>
        <v>TH09</v>
      </c>
      <c r="D176" s="5" t="str">
        <f t="shared" si="17"/>
        <v>10</v>
      </c>
      <c r="E176" s="5" t="str">
        <f t="shared" si="19"/>
        <v>TH09-10</v>
      </c>
      <c r="F176" t="s">
        <v>507</v>
      </c>
      <c r="G176" s="3" t="s">
        <v>508</v>
      </c>
    </row>
    <row r="177" spans="1:7" x14ac:dyDescent="0.25">
      <c r="A177">
        <v>353804878</v>
      </c>
      <c r="B177" s="5" t="s">
        <v>509</v>
      </c>
      <c r="C177" t="str">
        <f t="shared" si="18"/>
        <v>TH09</v>
      </c>
      <c r="D177" s="5" t="str">
        <f t="shared" si="17"/>
        <v>08</v>
      </c>
      <c r="E177" s="5" t="str">
        <f t="shared" si="19"/>
        <v>TH09-08</v>
      </c>
      <c r="F177" t="s">
        <v>510</v>
      </c>
      <c r="G177" s="3" t="s">
        <v>511</v>
      </c>
    </row>
    <row r="178" spans="1:7" x14ac:dyDescent="0.25">
      <c r="A178">
        <v>353804754</v>
      </c>
      <c r="B178" s="5" t="s">
        <v>512</v>
      </c>
      <c r="C178" t="str">
        <f t="shared" si="18"/>
        <v>TH09</v>
      </c>
      <c r="D178" s="5" t="str">
        <f t="shared" si="17"/>
        <v>07</v>
      </c>
      <c r="E178" s="5" t="str">
        <f t="shared" si="19"/>
        <v>TH09-07</v>
      </c>
      <c r="F178" t="s">
        <v>513</v>
      </c>
      <c r="G178" s="3" t="s">
        <v>514</v>
      </c>
    </row>
    <row r="179" spans="1:7" x14ac:dyDescent="0.25">
      <c r="A179">
        <v>353804630</v>
      </c>
      <c r="B179" s="5" t="s">
        <v>515</v>
      </c>
      <c r="C179" t="str">
        <f t="shared" si="18"/>
        <v>TH09</v>
      </c>
      <c r="D179" s="5" t="str">
        <f t="shared" si="17"/>
        <v>06</v>
      </c>
      <c r="E179" s="5" t="str">
        <f t="shared" si="19"/>
        <v>TH09-06</v>
      </c>
      <c r="F179" t="s">
        <v>516</v>
      </c>
      <c r="G179" s="3" t="s">
        <v>517</v>
      </c>
    </row>
    <row r="180" spans="1:7" x14ac:dyDescent="0.25">
      <c r="A180">
        <v>353804382</v>
      </c>
      <c r="B180" s="5" t="s">
        <v>518</v>
      </c>
      <c r="C180" t="str">
        <f t="shared" si="18"/>
        <v>TH09</v>
      </c>
      <c r="D180" s="5" t="str">
        <f t="shared" si="17"/>
        <v>04</v>
      </c>
      <c r="E180" s="5" t="str">
        <f t="shared" si="19"/>
        <v>TH09-04</v>
      </c>
      <c r="F180" t="s">
        <v>519</v>
      </c>
      <c r="G180" s="3" t="s">
        <v>520</v>
      </c>
    </row>
    <row r="181" spans="1:7" x14ac:dyDescent="0.25">
      <c r="A181">
        <v>353804134</v>
      </c>
      <c r="B181" s="5" t="s">
        <v>521</v>
      </c>
      <c r="C181" t="str">
        <f t="shared" si="18"/>
        <v>TH09</v>
      </c>
      <c r="D181" s="5" t="str">
        <f t="shared" si="17"/>
        <v>02</v>
      </c>
      <c r="E181" s="5" t="str">
        <f t="shared" si="19"/>
        <v>TH09-02</v>
      </c>
      <c r="F181" t="s">
        <v>522</v>
      </c>
      <c r="G181" s="3" t="s">
        <v>523</v>
      </c>
    </row>
    <row r="182" spans="1:7" x14ac:dyDescent="0.25">
      <c r="A182">
        <v>353804010</v>
      </c>
      <c r="B182" s="5" t="s">
        <v>524</v>
      </c>
      <c r="C182" t="str">
        <f t="shared" si="18"/>
        <v>TH09</v>
      </c>
      <c r="D182" s="5" t="str">
        <f t="shared" si="17"/>
        <v>01</v>
      </c>
      <c r="E182" s="5" t="str">
        <f t="shared" si="19"/>
        <v>TH09-01</v>
      </c>
      <c r="F182" t="s">
        <v>525</v>
      </c>
      <c r="G182" s="3" t="s">
        <v>526</v>
      </c>
    </row>
    <row r="183" spans="1:7" x14ac:dyDescent="0.25">
      <c r="A183">
        <v>353799669</v>
      </c>
      <c r="B183" s="5" t="s">
        <v>527</v>
      </c>
      <c r="C183" t="str">
        <f>IF(1=COUNTIF(B183,"MAG English 3*"),"TH14",IF(1=COUNTIF(B183,"MAG Arabic 12*"),"TH16",IF(1=COUNTIF(B183,"MAG Arabic 9*"),"TH07",IF(1=COUNTIF(B183,"MAG Japanese 1*"),"TH23",IF(1=COUNTIF(B183,"MAG English 3*"),"TH14",IF(1=COUNTIF(B183,"MAG Arabic 10*"),"TH21",IF(1=COUNTIF(B183,"MAG English 1*"),"TH17",IF(1=COUNTIF(B183,"MAG Arabic 7*"),"TH22",IF(1=COUNTIF(B183,"MAG Spanish 2*"),"TH20",IF(1=COUNTIF(B183,"MAG Japanese 2*"),"TH24",IF(1=COUNTIF(B183,"MAG Arabic 17*"),"TH11",IF(1=COUNTIF(B183,"MAG German 2*"),"TH26",IF(1=COUNTIF(B183,"MAG German 1*"),"TH25",IF(1=COUNTIF(B183,"MAG Arabic 13*"),"TH09",IF(1=COUNTIF(B183,"MAG Urdu 1*"),"TH27",IF(1=COUNTIF(B183,"MAG Arabic 14*"),"TH15",IF(1=COUNTIF(B183,"MAG Urdu 2*"),"TH28",IF(1=COUNTIF(B183,"MAG Bengali 2*"),"TH30",IF(1=COUNTIF(B183,"MAG Bengali 1*"),"TH29",IF(1=COUNTIF(B183,"MAG Arabic 16*"),"TH12",IF(1=COUNTIF(B183,"MAG Portuguese 02*"),"TH36",IF(1=COUNTIF(B183,"MAG Indonesian 02*"),"TH34",IF(1=COUNTIF(B183,"MAG French 1*"),"TH31","")))))))))))))))))))))))</f>
        <v>TH07</v>
      </c>
      <c r="D183" s="5" t="str">
        <f t="shared" si="17"/>
        <v>1</v>
      </c>
      <c r="E183" s="5" t="str">
        <f t="shared" si="19"/>
        <v>TH07-1</v>
      </c>
      <c r="F183" t="s">
        <v>528</v>
      </c>
      <c r="G183" s="3" t="s">
        <v>529</v>
      </c>
    </row>
    <row r="184" spans="1:7" x14ac:dyDescent="0.25">
      <c r="A184">
        <v>353815314</v>
      </c>
      <c r="B184" s="5" t="s">
        <v>530</v>
      </c>
      <c r="C184" t="str">
        <f>IF(1=COUNTIF(B184,"MAG English 3*"),"TH14",IF(1=COUNTIF(B184,"MAG Arabic 12*"),"TH16",IF(1=COUNTIF(B184,"MAG Arabic 9*"),"TH07",IF(1=COUNTIF(B184,"MAG Japanese 1*"),"TH23",IF(1=COUNTIF(B184,"MAG English 3*"),"TH14",IF(1=COUNTIF(B184,"MAG Arabic 10*"),"TH21",IF(1=COUNTIF(B184,"MAG English 1*"),"TH17",IF(1=COUNTIF(B184,"MAG Arabic 7*"),"TH22",IF(1=COUNTIF(B184,"MAG Spanish 2*"),"TH20",IF(1=COUNTIF(B184,"MAG Japanese 2*"),"TH24",IF(1=COUNTIF(B184,"MAG Arabic 17*"),"TH11",IF(1=COUNTIF(B184,"MAG German 2*"),"TH26",IF(1=COUNTIF(B184,"MAG German 1*"),"TH25",IF(1=COUNTIF(B184,"MAG Arabic 13*"),"TH09",IF(1=COUNTIF(B184,"MAG Urdu 1*"),"TH27",IF(1=COUNTIF(B184,"MAG Arabic 14*"),"TH15",IF(1=COUNTIF(B184,"MAG Urdu 2*"),"TH28",IF(1=COUNTIF(B184,"MAG Bengali 2*"),"TH30",IF(1=COUNTIF(B184,"MAG Bengali 1*"),"TH29",IF(1=COUNTIF(B184,"MAG Arabic 16*"),"TH12",IF(1=COUNTIF(B184,"MAG Portuguese 02*"),"TH36",IF(1=COUNTIF(B184,"MAG Indonesian 02*"),"TH34",IF(1=COUNTIF(B184,"MAG French 1*"),"TH31","")))))))))))))))))))))))</f>
        <v>TH14</v>
      </c>
      <c r="D184" s="5" t="str">
        <f t="shared" si="17"/>
        <v>09</v>
      </c>
      <c r="E184" s="5" t="str">
        <f t="shared" si="19"/>
        <v>TH14-09</v>
      </c>
      <c r="F184" t="s">
        <v>531</v>
      </c>
      <c r="G184" s="3" t="s">
        <v>532</v>
      </c>
    </row>
    <row r="185" spans="1:7" x14ac:dyDescent="0.25">
      <c r="A185">
        <v>353807358</v>
      </c>
      <c r="B185" s="5" t="s">
        <v>533</v>
      </c>
      <c r="C185" t="str">
        <f>IF(1=COUNTIF(B185,"MAG English 3*"),"TH14",IF(1=COUNTIF(B185,"MAG Arabic 12*"),"TH16",IF(1=COUNTIF(B185,"MAG Arabic 15*"),"TH10",IF(1=COUNTIF(B185,"MAG Arabic 9*"),"TH07",IF(1=COUNTIF(B185,"MAG Japanese 1*"),"TH23",IF(1=COUNTIF(B185,"MAG English 3*"),"TH14",IF(1=COUNTIF(B185,"MAG Arabic 10*"),"TH21",IF(1=COUNTIF(B185,"MAG English 1*"),"TH17",IF(1=COUNTIF(B185,"MAG Arabic 7*"),"TH22",IF(1=COUNTIF(B185,"MAG Spanish 2*"),"TH20",IF(1=COUNTIF(B185,"MAG Japanese 2*"),"TH24",IF(1=COUNTIF(B185,"MAG Arabic 17*"),"TH11",IF(1=COUNTIF(B185,"MAG German 2*"),"TH26",IF(1=COUNTIF(B185,"MAG German 1*"),"TH25",IF(1=COUNTIF(B185,"MAG Arabic 13*"),"TH09",IF(1=COUNTIF(B185,"MAG Urdu 1*"),"TH27",IF(1=COUNTIF(B185,"MAG Arabic 14*"),"TH15",IF(1=COUNTIF(B185,"MAG Urdu 2*"),"TH28",IF(1=COUNTIF(B185,"MAG Bengali 2*"),"TH30",IF(1=COUNTIF(B185,"MAG Bengali 1*"),"TH29",IF(1=COUNTIF(B185,"MAG Arabic 16*"),"TH12",IF(1=COUNTIF(B185,"MAG Portuguese 02*"),"TH36",IF(1=COUNTIF(B185,"MAG Indonesian 02*"),"TH34",IF(1=COUNTIF(B185,"MAG French 1*"),"TH31",""))))))))))))))))))))))))</f>
        <v>TH10</v>
      </c>
      <c r="D185" s="5" t="str">
        <f t="shared" si="17"/>
        <v>05</v>
      </c>
      <c r="E185" s="5" t="str">
        <f t="shared" si="19"/>
        <v>TH10-05</v>
      </c>
      <c r="F185" t="s">
        <v>534</v>
      </c>
      <c r="G185" s="3" t="s">
        <v>535</v>
      </c>
    </row>
    <row r="186" spans="1:7" x14ac:dyDescent="0.25">
      <c r="A186">
        <v>341563375</v>
      </c>
      <c r="B186" s="5" t="s">
        <v>536</v>
      </c>
      <c r="C186" t="str">
        <f>IF(1=COUNTIF(B186,"MAG English 3*"),"TH14",IF(1=COUNTIF(B186,"MAG Arabic 12*"),"TH16",IF(1=COUNTIF(B186,"MAG English 5*"),"TH13",IF(1=COUNTIF(B186,"MAG Arabic 15*"),"TH10",IF(1=COUNTIF(B186,"MAG Arabic 9*"),"TH07",IF(1=COUNTIF(B186,"MAG Japanese 1*"),"TH23",IF(1=COUNTIF(B186,"MAG English 3*"),"TH14",IF(1=COUNTIF(B186,"MAG Arabic 10*"),"TH21",IF(1=COUNTIF(B186,"MAG English 1*"),"TH17",IF(1=COUNTIF(B186,"MAG Arabic 7*"),"TH22",IF(1=COUNTIF(B186,"MAG Spanish 2*"),"TH20",IF(1=COUNTIF(B186,"MAG Japanese 2*"),"TH24",IF(1=COUNTIF(B186,"MAG Arabic 17*"),"TH11",IF(1=COUNTIF(B186,"MAG German 2*"),"TH26",IF(1=COUNTIF(B186,"MAG German 1*"),"TH25",IF(1=COUNTIF(B186,"MAG Arabic 13*"),"TH09",IF(1=COUNTIF(B186,"MAG Urdu 1*"),"TH27",IF(1=COUNTIF(B186,"MAG Arabic 14*"),"TH15",IF(1=COUNTIF(B186,"MAG Urdu 2*"),"TH28",IF(1=COUNTIF(B186,"MAG Bengali 2*"),"TH30",IF(1=COUNTIF(B186,"MAG Bengali 1*"),"TH29",IF(1=COUNTIF(B186,"MAG Arabic 16*"),"TH12",IF(1=COUNTIF(B186,"MAG Portuguese 02*"),"TH36",IF(1=COUNTIF(B186,"MAG Indonesian 02*"),"TH34",IF(1=COUNTIF(B186,"MAG French 1*"),"TH31","")))))))))))))))))))))))))</f>
        <v>TH13</v>
      </c>
      <c r="D186" s="5" t="str">
        <f t="shared" si="17"/>
        <v>23</v>
      </c>
      <c r="E186" s="5" t="str">
        <f t="shared" si="19"/>
        <v>TH13-23</v>
      </c>
      <c r="F186" t="s">
        <v>537</v>
      </c>
      <c r="G186" s="3" t="s">
        <v>538</v>
      </c>
    </row>
    <row r="187" spans="1:7" x14ac:dyDescent="0.25">
      <c r="A187">
        <v>341563499</v>
      </c>
      <c r="B187" s="5" t="s">
        <v>539</v>
      </c>
      <c r="C187" t="str">
        <f t="shared" ref="C187:C191" si="21">IF(1=COUNTIF(B187,"MAG English 3*"),"TH14",IF(1=COUNTIF(B187,"MAG Arabic 12*"),"TH16",IF(1=COUNTIF(B187,"MAG English 5*"),"TH13",IF(1=COUNTIF(B187,"MAG Arabic 15*"),"TH10",IF(1=COUNTIF(B187,"MAG Arabic 9*"),"TH07",IF(1=COUNTIF(B187,"MAG Japanese 1*"),"TH23",IF(1=COUNTIF(B187,"MAG English 3*"),"TH14",IF(1=COUNTIF(B187,"MAG Arabic 10*"),"TH21",IF(1=COUNTIF(B187,"MAG English 1*"),"TH17",IF(1=COUNTIF(B187,"MAG Arabic 7*"),"TH22",IF(1=COUNTIF(B187,"MAG Spanish 2*"),"TH20",IF(1=COUNTIF(B187,"MAG Japanese 2*"),"TH24",IF(1=COUNTIF(B187,"MAG Arabic 17*"),"TH11",IF(1=COUNTIF(B187,"MAG German 2*"),"TH26",IF(1=COUNTIF(B187,"MAG German 1*"),"TH25",IF(1=COUNTIF(B187,"MAG Arabic 13*"),"TH09",IF(1=COUNTIF(B187,"MAG Urdu 1*"),"TH27",IF(1=COUNTIF(B187,"MAG Arabic 14*"),"TH15",IF(1=COUNTIF(B187,"MAG Urdu 2*"),"TH28",IF(1=COUNTIF(B187,"MAG Bengali 2*"),"TH30",IF(1=COUNTIF(B187,"MAG Bengali 1*"),"TH29",IF(1=COUNTIF(B187,"MAG Arabic 16*"),"TH12",IF(1=COUNTIF(B187,"MAG Portuguese 02*"),"TH36",IF(1=COUNTIF(B187,"MAG Indonesian 02*"),"TH34",IF(1=COUNTIF(B187,"MAG French 1*"),"TH31","")))))))))))))))))))))))))</f>
        <v>TH13</v>
      </c>
      <c r="D187" s="5" t="str">
        <f t="shared" si="17"/>
        <v>24</v>
      </c>
      <c r="E187" s="5" t="str">
        <f t="shared" si="19"/>
        <v>TH13-24</v>
      </c>
      <c r="F187" t="s">
        <v>540</v>
      </c>
      <c r="G187" s="3" t="s">
        <v>541</v>
      </c>
    </row>
    <row r="188" spans="1:7" x14ac:dyDescent="0.25">
      <c r="A188">
        <v>341563747</v>
      </c>
      <c r="B188" s="5" t="s">
        <v>542</v>
      </c>
      <c r="C188" t="str">
        <f t="shared" si="21"/>
        <v>TH13</v>
      </c>
      <c r="D188" s="5" t="str">
        <f t="shared" si="17"/>
        <v>26</v>
      </c>
      <c r="E188" s="5" t="str">
        <f t="shared" si="19"/>
        <v>TH13-26</v>
      </c>
      <c r="F188" t="s">
        <v>543</v>
      </c>
      <c r="G188" s="3" t="s">
        <v>544</v>
      </c>
    </row>
    <row r="189" spans="1:7" x14ac:dyDescent="0.25">
      <c r="A189">
        <v>341563871</v>
      </c>
      <c r="B189" s="5" t="s">
        <v>545</v>
      </c>
      <c r="C189" t="str">
        <f t="shared" si="21"/>
        <v>TH13</v>
      </c>
      <c r="D189" s="5" t="str">
        <f t="shared" si="17"/>
        <v>27</v>
      </c>
      <c r="E189" s="5" t="str">
        <f t="shared" si="19"/>
        <v>TH13-27</v>
      </c>
      <c r="F189" t="s">
        <v>546</v>
      </c>
      <c r="G189" s="3" t="s">
        <v>547</v>
      </c>
    </row>
    <row r="190" spans="1:7" x14ac:dyDescent="0.25">
      <c r="A190">
        <v>341564243</v>
      </c>
      <c r="B190" s="5" t="s">
        <v>548</v>
      </c>
      <c r="C190" t="str">
        <f t="shared" si="21"/>
        <v>TH13</v>
      </c>
      <c r="D190" s="5" t="str">
        <f t="shared" si="17"/>
        <v>30</v>
      </c>
      <c r="E190" s="5" t="str">
        <f t="shared" si="19"/>
        <v>TH13-30</v>
      </c>
      <c r="F190" t="s">
        <v>549</v>
      </c>
      <c r="G190" s="3" t="s">
        <v>550</v>
      </c>
    </row>
    <row r="191" spans="1:7" x14ac:dyDescent="0.25">
      <c r="A191">
        <v>341564491</v>
      </c>
      <c r="B191" s="5" t="s">
        <v>551</v>
      </c>
      <c r="C191" t="str">
        <f t="shared" si="21"/>
        <v>TH13</v>
      </c>
      <c r="D191" s="5" t="str">
        <f t="shared" si="17"/>
        <v>32</v>
      </c>
      <c r="E191" s="5" t="str">
        <f t="shared" si="19"/>
        <v>TH13-32</v>
      </c>
      <c r="F191" t="s">
        <v>552</v>
      </c>
      <c r="G191" s="3" t="s">
        <v>553</v>
      </c>
    </row>
    <row r="192" spans="1:7" x14ac:dyDescent="0.25">
      <c r="A192">
        <v>341564615</v>
      </c>
      <c r="B192" s="5" t="s">
        <v>554</v>
      </c>
      <c r="C192" t="str">
        <f>IF(1=COUNTIF(B192,"MAG English 3*"),"TH14",IF(1=COUNTIF(B192,"MAG Arabic 12*"),"TH16",IF(1=COUNTIF(B192,"MAG Portuguese 1*"),"TH35",IF(1=COUNTIF(B192,"MAG English 5*"),"TH13",IF(1=COUNTIF(B192,"MAG Arabic 15*"),"TH10",IF(1=COUNTIF(B192,"MAG Arabic 9*"),"TH07",IF(1=COUNTIF(B192,"MAG Japanese 1*"),"TH23",IF(1=COUNTIF(B192,"MAG English 3*"),"TH14",IF(1=COUNTIF(B192,"MAG Arabic 10*"),"TH21",IF(1=COUNTIF(B192,"MAG English 1*"),"TH17",IF(1=COUNTIF(B192,"MAG Arabic 7*"),"TH22",IF(1=COUNTIF(B192,"MAG Spanish 2*"),"TH20",IF(1=COUNTIF(B192,"MAG Japanese 2*"),"TH24",IF(1=COUNTIF(B192,"MAG Arabic 17*"),"TH11",IF(1=COUNTIF(B192,"MAG German 2*"),"TH26",IF(1=COUNTIF(B192,"MAG German 1*"),"TH25",IF(1=COUNTIF(B192,"MAG Arabic 13*"),"TH09",IF(1=COUNTIF(B192,"MAG Urdu 1*"),"TH27",IF(1=COUNTIF(B192,"MAG Arabic 14*"),"TH15",IF(1=COUNTIF(B192,"MAG Urdu 2*"),"TH28",IF(1=COUNTIF(B192,"MAG Bengali 2*"),"TH30",IF(1=COUNTIF(B192,"MAG Bengali 1*"),"TH29",IF(1=COUNTIF(B192,"MAG Arabic 16*"),"TH12",IF(1=COUNTIF(B192,"MAG Portuguese 02*"),"TH36",IF(1=COUNTIF(B192,"MAG Indonesian 02*"),"TH34",IF(1=COUNTIF(B192,"MAG French 1*"),"TH31",""))))))))))))))))))))))))))</f>
        <v>TH35</v>
      </c>
      <c r="D192" s="5" t="str">
        <f>RIGHT(B192,FIND("-",B192)-15)</f>
        <v xml:space="preserve"> 01</v>
      </c>
      <c r="E192" s="5" t="str">
        <f t="shared" si="19"/>
        <v>TH35- 01</v>
      </c>
      <c r="F192" t="s">
        <v>555</v>
      </c>
      <c r="G192" s="3" t="s">
        <v>556</v>
      </c>
    </row>
    <row r="193" spans="1:7" x14ac:dyDescent="0.25">
      <c r="A193">
        <v>341564739</v>
      </c>
      <c r="B193" s="5" t="s">
        <v>557</v>
      </c>
      <c r="C193" t="str">
        <f t="shared" ref="C193:C201" si="22">IF(1=COUNTIF(B193,"MAG English 3*"),"TH14",IF(1=COUNTIF(B193,"MAG Arabic 12*"),"TH16",IF(1=COUNTIF(B193,"MAG Portuguese 1*"),"TH35",IF(1=COUNTIF(B193,"MAG English 5*"),"TH13",IF(1=COUNTIF(B193,"MAG Arabic 15*"),"TH10",IF(1=COUNTIF(B193,"MAG Arabic 9*"),"TH07",IF(1=COUNTIF(B193,"MAG Japanese 1*"),"TH23",IF(1=COUNTIF(B193,"MAG English 3*"),"TH14",IF(1=COUNTIF(B193,"MAG Arabic 10*"),"TH21",IF(1=COUNTIF(B193,"MAG English 1*"),"TH17",IF(1=COUNTIF(B193,"MAG Arabic 7*"),"TH22",IF(1=COUNTIF(B193,"MAG Spanish 2*"),"TH20",IF(1=COUNTIF(B193,"MAG Japanese 2*"),"TH24",IF(1=COUNTIF(B193,"MAG Arabic 17*"),"TH11",IF(1=COUNTIF(B193,"MAG German 2*"),"TH26",IF(1=COUNTIF(B193,"MAG German 1*"),"TH25",IF(1=COUNTIF(B193,"MAG Arabic 13*"),"TH09",IF(1=COUNTIF(B193,"MAG Urdu 1*"),"TH27",IF(1=COUNTIF(B193,"MAG Arabic 14*"),"TH15",IF(1=COUNTIF(B193,"MAG Urdu 2*"),"TH28",IF(1=COUNTIF(B193,"MAG Bengali 2*"),"TH30",IF(1=COUNTIF(B193,"MAG Bengali 1*"),"TH29",IF(1=COUNTIF(B193,"MAG Arabic 16*"),"TH12",IF(1=COUNTIF(B193,"MAG Portuguese 02*"),"TH36",IF(1=COUNTIF(B193,"MAG Indonesian 02*"),"TH34",IF(1=COUNTIF(B193,"MAG French 1*"),"TH31",""))))))))))))))))))))))))))</f>
        <v>TH35</v>
      </c>
      <c r="D193" s="5" t="str">
        <f t="shared" ref="D193:D201" si="23">RIGHT(B193,FIND("-",B193)-15)</f>
        <v xml:space="preserve"> 02</v>
      </c>
      <c r="E193" s="5" t="str">
        <f t="shared" si="19"/>
        <v>TH35- 02</v>
      </c>
      <c r="F193" t="s">
        <v>558</v>
      </c>
      <c r="G193" s="3" t="s">
        <v>559</v>
      </c>
    </row>
    <row r="194" spans="1:7" x14ac:dyDescent="0.25">
      <c r="A194">
        <v>341564863</v>
      </c>
      <c r="B194" s="5" t="s">
        <v>560</v>
      </c>
      <c r="C194" t="str">
        <f t="shared" si="22"/>
        <v>TH35</v>
      </c>
      <c r="D194" s="5" t="str">
        <f t="shared" si="23"/>
        <v xml:space="preserve"> 03</v>
      </c>
      <c r="E194" s="5" t="str">
        <f t="shared" si="19"/>
        <v>TH35- 03</v>
      </c>
      <c r="F194" t="s">
        <v>561</v>
      </c>
      <c r="G194" s="3" t="s">
        <v>435</v>
      </c>
    </row>
    <row r="195" spans="1:7" x14ac:dyDescent="0.25">
      <c r="A195">
        <v>341564987</v>
      </c>
      <c r="B195" s="5" t="s">
        <v>562</v>
      </c>
      <c r="C195" t="str">
        <f t="shared" si="22"/>
        <v>TH35</v>
      </c>
      <c r="D195" s="5" t="str">
        <f t="shared" si="23"/>
        <v xml:space="preserve"> 04</v>
      </c>
      <c r="E195" s="5" t="str">
        <f t="shared" si="19"/>
        <v>TH35- 04</v>
      </c>
      <c r="F195" t="s">
        <v>563</v>
      </c>
      <c r="G195" s="3" t="s">
        <v>564</v>
      </c>
    </row>
    <row r="196" spans="1:7" x14ac:dyDescent="0.25">
      <c r="A196">
        <v>341565111</v>
      </c>
      <c r="B196" s="5" t="s">
        <v>565</v>
      </c>
      <c r="C196" t="str">
        <f t="shared" si="22"/>
        <v>TH35</v>
      </c>
      <c r="D196" s="5" t="str">
        <f t="shared" si="23"/>
        <v xml:space="preserve"> 05</v>
      </c>
      <c r="E196" s="5" t="str">
        <f t="shared" si="19"/>
        <v>TH35- 05</v>
      </c>
      <c r="F196" t="s">
        <v>566</v>
      </c>
      <c r="G196" s="3" t="s">
        <v>567</v>
      </c>
    </row>
    <row r="197" spans="1:7" x14ac:dyDescent="0.25">
      <c r="A197">
        <v>341565235</v>
      </c>
      <c r="B197" s="5" t="s">
        <v>568</v>
      </c>
      <c r="C197" t="str">
        <f t="shared" si="22"/>
        <v>TH35</v>
      </c>
      <c r="D197" s="5" t="str">
        <f t="shared" si="23"/>
        <v xml:space="preserve"> 06</v>
      </c>
      <c r="E197" s="5" t="str">
        <f t="shared" si="19"/>
        <v>TH35- 06</v>
      </c>
      <c r="F197" t="s">
        <v>569</v>
      </c>
      <c r="G197" s="3" t="s">
        <v>570</v>
      </c>
    </row>
    <row r="198" spans="1:7" x14ac:dyDescent="0.25">
      <c r="A198">
        <v>341565359</v>
      </c>
      <c r="B198" s="5" t="s">
        <v>571</v>
      </c>
      <c r="C198" t="str">
        <f t="shared" si="22"/>
        <v>TH35</v>
      </c>
      <c r="D198" s="5" t="str">
        <f t="shared" si="23"/>
        <v xml:space="preserve"> 07</v>
      </c>
      <c r="E198" s="5" t="str">
        <f t="shared" si="19"/>
        <v>TH35- 07</v>
      </c>
      <c r="F198" t="s">
        <v>572</v>
      </c>
      <c r="G198" s="3" t="s">
        <v>573</v>
      </c>
    </row>
    <row r="199" spans="1:7" x14ac:dyDescent="0.25">
      <c r="A199">
        <v>341565483</v>
      </c>
      <c r="B199" s="5" t="s">
        <v>574</v>
      </c>
      <c r="C199" t="str">
        <f t="shared" si="22"/>
        <v>TH35</v>
      </c>
      <c r="D199" s="5" t="str">
        <f t="shared" si="23"/>
        <v xml:space="preserve"> 08</v>
      </c>
      <c r="E199" s="5" t="str">
        <f t="shared" si="19"/>
        <v>TH35- 08</v>
      </c>
      <c r="F199" t="s">
        <v>561</v>
      </c>
      <c r="G199" s="3" t="s">
        <v>435</v>
      </c>
    </row>
    <row r="200" spans="1:7" x14ac:dyDescent="0.25">
      <c r="A200">
        <v>341565607</v>
      </c>
      <c r="B200" s="5" t="s">
        <v>575</v>
      </c>
      <c r="C200" t="str">
        <f t="shared" si="22"/>
        <v>TH35</v>
      </c>
      <c r="D200" s="5" t="str">
        <f t="shared" si="23"/>
        <v xml:space="preserve"> 09</v>
      </c>
      <c r="E200" s="5" t="str">
        <f t="shared" si="19"/>
        <v>TH35- 09</v>
      </c>
      <c r="F200" t="s">
        <v>576</v>
      </c>
      <c r="G200" s="3" t="s">
        <v>577</v>
      </c>
    </row>
    <row r="201" spans="1:7" x14ac:dyDescent="0.25">
      <c r="A201">
        <v>341565731</v>
      </c>
      <c r="B201" s="5" t="s">
        <v>578</v>
      </c>
      <c r="C201" t="str">
        <f t="shared" si="22"/>
        <v>TH35</v>
      </c>
      <c r="D201" s="5" t="str">
        <f t="shared" si="23"/>
        <v xml:space="preserve"> 10</v>
      </c>
      <c r="E201" s="5" t="str">
        <f t="shared" si="19"/>
        <v>TH35- 10</v>
      </c>
      <c r="F201" t="s">
        <v>579</v>
      </c>
      <c r="G201" s="3" t="s">
        <v>580</v>
      </c>
    </row>
    <row r="202" spans="1:7" x14ac:dyDescent="0.25">
      <c r="A202">
        <v>321631472</v>
      </c>
      <c r="B202" s="5" t="s">
        <v>581</v>
      </c>
      <c r="C202" t="str">
        <f>IF(1=COUNTIF(B202,"MAG English 3*"),"TH14",IF(1=COUNTIF(B202,"MAG Arabic 5*"),"TH04",IF(1=COUNTIF(B202,"MAG Arabic 1*"),"TH01",IF(1=COUNTIF(B202,"MAG Arabic 12*"),"TH16",IF(1=COUNTIF(B202,"MAG Portuguese 1*"),"TH35",IF(1=COUNTIF(B202,"MAG English 5*"),"TH13",IF(1=COUNTIF(B202,"MAG Arabic 15*"),"TH10",IF(1=COUNTIF(B202,"MAG Arabic 9*"),"TH07",IF(1=COUNTIF(B202,"MAG Japanese 1*"),"TH23",IF(1=COUNTIF(B202,"MAG English 3*"),"TH14",IF(1=COUNTIF(B202,"MAG Arabic 10*"),"TH21",IF(1=COUNTIF(B202,"MAG English 1*"),"TH17",IF(1=COUNTIF(B202,"MAG Arabic 7*"),"TH22",IF(1=COUNTIF(B202,"MAG Spanish 2*"),"TH20",IF(1=COUNTIF(B202,"MAG Japanese 2*"),"TH24",IF(1=COUNTIF(B202,"MAG Arabic 17*"),"TH11",IF(1=COUNTIF(B202,"MAG German 2*"),"TH26",IF(1=COUNTIF(B202,"MAG German 1*"),"TH25",IF(1=COUNTIF(B202,"MAG Arabic 13*"),"TH09",IF(1=COUNTIF(B202,"MAG Urdu 1*"),"TH27",IF(1=COUNTIF(B202,"MAG Arabic 14*"),"TH15",IF(1=COUNTIF(B202,"MAG Urdu 2*"),"TH28",IF(1=COUNTIF(B202,"MAG Bengali 2*"),"TH30",IF(1=COUNTIF(B202,"MAG Bengali 1*"),"TH29",IF(1=COUNTIF(B202,"MAG Arabic 16*"),"TH12",IF(1=COUNTIF(B202,"MAG Portuguese 02*"),"TH36",IF(1=COUNTIF(B202,"MAG Indonesian 02*"),"TH34",IF(1=COUNTIF(B202,"MAG French 1*"),"TH31",""))))))))))))))))))))))))))))</f>
        <v>TH04</v>
      </c>
      <c r="D202" s="5" t="str">
        <f>RIGHT(B202,FIND("-",B202)-11)</f>
        <v xml:space="preserve"> 08</v>
      </c>
      <c r="E202" s="5" t="str">
        <f t="shared" si="19"/>
        <v>TH04- 08</v>
      </c>
      <c r="F202" t="s">
        <v>582</v>
      </c>
      <c r="G202" s="3" t="s">
        <v>583</v>
      </c>
    </row>
    <row r="203" spans="1:7" x14ac:dyDescent="0.25">
      <c r="A203">
        <v>321625272</v>
      </c>
      <c r="B203" s="5" t="s">
        <v>584</v>
      </c>
      <c r="C203" t="str">
        <f t="shared" ref="C203:C206" si="24">IF(1=COUNTIF(B203,"MAG English 3*"),"TH14",IF(1=COUNTIF(B203,"MAG Arabic 5*"),"TH04",IF(1=COUNTIF(B203,"MAG Arabic 1*"),"TH01",IF(1=COUNTIF(B203,"MAG Arabic 12*"),"TH16",IF(1=COUNTIF(B203,"MAG Portuguese 1*"),"TH35",IF(1=COUNTIF(B203,"MAG English 5*"),"TH13",IF(1=COUNTIF(B203,"MAG Arabic 15*"),"TH10",IF(1=COUNTIF(B203,"MAG Arabic 9*"),"TH07",IF(1=COUNTIF(B203,"MAG Japanese 1*"),"TH23",IF(1=COUNTIF(B203,"MAG English 3*"),"TH14",IF(1=COUNTIF(B203,"MAG Arabic 10*"),"TH21",IF(1=COUNTIF(B203,"MAG English 1*"),"TH17",IF(1=COUNTIF(B203,"MAG Arabic 7*"),"TH22",IF(1=COUNTIF(B203,"MAG Spanish 2*"),"TH20",IF(1=COUNTIF(B203,"MAG Japanese 2*"),"TH24",IF(1=COUNTIF(B203,"MAG Arabic 17*"),"TH11",IF(1=COUNTIF(B203,"MAG German 2*"),"TH26",IF(1=COUNTIF(B203,"MAG German 1*"),"TH25",IF(1=COUNTIF(B203,"MAG Arabic 13*"),"TH09",IF(1=COUNTIF(B203,"MAG Urdu 1*"),"TH27",IF(1=COUNTIF(B203,"MAG Arabic 14*"),"TH15",IF(1=COUNTIF(B203,"MAG Urdu 2*"),"TH28",IF(1=COUNTIF(B203,"MAG Bengali 2*"),"TH30",IF(1=COUNTIF(B203,"MAG Bengali 1*"),"TH29",IF(1=COUNTIF(B203,"MAG Arabic 16*"),"TH12",IF(1=COUNTIF(B203,"MAG Portuguese 02*"),"TH36",IF(1=COUNTIF(B203,"MAG Indonesian 02*"),"TH34",IF(1=COUNTIF(B203,"MAG French 1*"),"TH31",""))))))))))))))))))))))))))))</f>
        <v>TH01</v>
      </c>
      <c r="D203" s="5" t="str">
        <f t="shared" ref="D203:D206" si="25">RIGHT(B203,FIND("-",B203)-11)</f>
        <v xml:space="preserve"> 10</v>
      </c>
      <c r="E203" s="5" t="str">
        <f t="shared" si="19"/>
        <v>TH01- 10</v>
      </c>
      <c r="F203" t="s">
        <v>585</v>
      </c>
      <c r="G203" s="3" t="s">
        <v>586</v>
      </c>
    </row>
    <row r="204" spans="1:7" x14ac:dyDescent="0.25">
      <c r="A204">
        <v>321632340</v>
      </c>
      <c r="B204" s="5" t="s">
        <v>587</v>
      </c>
      <c r="C204" t="str">
        <f t="shared" si="24"/>
        <v>TH04</v>
      </c>
      <c r="D204" s="5" t="str">
        <f t="shared" si="25"/>
        <v xml:space="preserve"> 15</v>
      </c>
      <c r="E204" s="5" t="str">
        <f t="shared" si="19"/>
        <v>TH04- 15</v>
      </c>
      <c r="F204" t="s">
        <v>588</v>
      </c>
      <c r="G204" s="3" t="s">
        <v>589</v>
      </c>
    </row>
    <row r="205" spans="1:7" x14ac:dyDescent="0.25">
      <c r="A205">
        <v>321625768</v>
      </c>
      <c r="B205" s="5" t="s">
        <v>590</v>
      </c>
      <c r="C205" t="str">
        <f t="shared" si="24"/>
        <v>TH01</v>
      </c>
      <c r="D205" s="5" t="str">
        <f t="shared" si="25"/>
        <v xml:space="preserve"> 14</v>
      </c>
      <c r="E205" s="5" t="str">
        <f t="shared" si="19"/>
        <v>TH01- 14</v>
      </c>
      <c r="F205" t="s">
        <v>591</v>
      </c>
      <c r="G205" s="3" t="s">
        <v>592</v>
      </c>
    </row>
    <row r="206" spans="1:7" x14ac:dyDescent="0.25">
      <c r="A206">
        <v>321625520</v>
      </c>
      <c r="B206" s="5" t="s">
        <v>593</v>
      </c>
      <c r="C206" t="str">
        <f t="shared" si="24"/>
        <v>TH01</v>
      </c>
      <c r="D206" s="5" t="str">
        <f t="shared" si="25"/>
        <v xml:space="preserve"> 12</v>
      </c>
      <c r="E206" s="5" t="str">
        <f t="shared" si="19"/>
        <v>TH01- 12</v>
      </c>
      <c r="F206" t="s">
        <v>594</v>
      </c>
      <c r="G206" s="3" t="s">
        <v>595</v>
      </c>
    </row>
  </sheetData>
  <hyperlinks>
    <hyperlink ref="H2" r:id="rId1"/>
    <hyperlink ref="H3" r:id="rId2"/>
    <hyperlink ref="H10" r:id="rId3"/>
    <hyperlink ref="H25" r:id="rId4"/>
    <hyperlink ref="H27" r:id="rId5"/>
    <hyperlink ref="H29" r:id="rId6"/>
    <hyperlink ref="H34" r:id="rId7"/>
    <hyperlink ref="H129" r:id="rId8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2021-04-29T21:41:59Z</dcterms:created>
  <dcterms:modified xsi:type="dcterms:W3CDTF">2021-05-16T16:26:00Z</dcterms:modified>
</cp:coreProperties>
</file>